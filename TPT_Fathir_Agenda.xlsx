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da Fathir" sheetId="1" state="visible" r:id="rId3"/>
    <sheet name="To-Do Mingguan" sheetId="2" state="visible" r:id="rId4"/>
    <sheet name="Input dari Tim" sheetId="3" state="visible" r:id="rId5"/>
    <sheet name="Parameter Retu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<sst xmlns="http://schemas.openxmlformats.org/spreadsheetml/2006/main" count="697" uniqueCount="428">
  <si>
    <t xml:space="preserve">Agenda Detail — Fathir (1.1 Komunikasi MAVLink · 1.2 Kalibrasi Kamera · 4.1 Uji Simulasi &amp; Deteksi ArUco)</t>
  </si>
  <si>
    <t xml:space="preserve">Starts 6 Oct 2026. Blue = my work week · Black = no-work week (from Timelinev2) · Grey = teammate's slot I depend on · Orange = meeting / report milestone. Original WBS in bold; sub-items x.y.z are the new detailed breakdown.</t>
  </si>
  <si>
    <t xml:space="preserve">WBS</t>
  </si>
  <si>
    <t xml:space="preserve">Kegiatan / Task</t>
  </si>
  <si>
    <t xml:space="preserve">Deliverable / Kriteria selesai</t>
  </si>
  <si>
    <t xml:space="preserve">Butuh input dari</t>
  </si>
  <si>
    <t xml:space="preserve">PJ</t>
  </si>
  <si>
    <t xml:space="preserve">Okt</t>
  </si>
  <si>
    <t xml:space="preserve">Nov</t>
  </si>
  <si>
    <t xml:space="preserve">Des</t>
  </si>
  <si>
    <t xml:space="preserve">Jan</t>
  </si>
  <si>
    <t xml:space="preserve">Status</t>
  </si>
  <si>
    <t xml:space="preserve">W1
6–7 Okt</t>
  </si>
  <si>
    <t xml:space="preserve">W2
8–14 Okt</t>
  </si>
  <si>
    <t xml:space="preserve">W3
15–21 Okt</t>
  </si>
  <si>
    <t xml:space="preserve">W4
22–31 Okt</t>
  </si>
  <si>
    <t xml:space="preserve">W1
1–7 Nov</t>
  </si>
  <si>
    <t xml:space="preserve">W2
8–14 Nov</t>
  </si>
  <si>
    <t xml:space="preserve">W3
15–21 Nov</t>
  </si>
  <si>
    <t xml:space="preserve">W4
22–30 Nov</t>
  </si>
  <si>
    <t xml:space="preserve">W1
1–7 Des</t>
  </si>
  <si>
    <t xml:space="preserve">W2
8–14 Des</t>
  </si>
  <si>
    <t xml:space="preserve">W3
15–21 Des</t>
  </si>
  <si>
    <t xml:space="preserve">W4
22–31 Des</t>
  </si>
  <si>
    <t xml:space="preserve">W1
1–7 Jan</t>
  </si>
  <si>
    <t xml:space="preserve">W2
8–14 Jan</t>
  </si>
  <si>
    <t xml:space="preserve">W3
15–21 Jan</t>
  </si>
  <si>
    <t xml:space="preserve">W4
22–31 Jan</t>
  </si>
  <si>
    <t xml:space="preserve">0</t>
  </si>
  <si>
    <t xml:space="preserve">Milestone tim (konteks)</t>
  </si>
  <si>
    <t xml:space="preserve">0.0</t>
  </si>
  <si>
    <t xml:space="preserve">Konsultasi dosen pembimbing + persiapan presentasi</t>
  </si>
  <si>
    <t xml:space="preserve">Bring: progress demo / plots from my items</t>
  </si>
  <si>
    <t xml:space="preserve">Aga</t>
  </si>
  <si>
    <t xml:space="preserve">0.1</t>
  </si>
  <si>
    <t xml:space="preserve">Konsultasi &amp; bertemu klien</t>
  </si>
  <si>
    <t xml:space="preserve">Bring: detection demo (Okt), SITL loop (Des), field results (Jan)</t>
  </si>
  <si>
    <t xml:space="preserve">0.2</t>
  </si>
  <si>
    <t xml:space="preserve">Laporan kemajuan</t>
  </si>
  <si>
    <t xml:space="preserve">My sections must be sent to Aga BEFORE Okt W2 (see 1.1.0)</t>
  </si>
  <si>
    <t xml:space="preserve">1</t>
  </si>
  <si>
    <t xml:space="preserve">Arsitektur &amp; Perancangan Awal</t>
  </si>
  <si>
    <t xml:space="preserve">1.1</t>
  </si>
  <si>
    <t xml:space="preserve">Perancangan komunikasi MAVLink (pymavlink)  — was 'Dronekit'</t>
  </si>
  <si>
    <t xml:space="preserve">Companion ↔ FC link proven on real drone; mode logic agreed</t>
  </si>
  <si>
    <t xml:space="preserve">Fathir</t>
  </si>
  <si>
    <t xml:space="preserve">1.1.0</t>
  </si>
  <si>
    <t xml:space="preserve">Write progress-report section: comms + calibration status, honest list of what is SITL-only</t>
  </si>
  <si>
    <t xml:space="preserve">½–1 page + figures sent to Aga</t>
  </si>
  <si>
    <t xml:space="preserve">Aga: report template &amp; deadline</t>
  </si>
  <si>
    <t xml:space="preserve">Not started</t>
  </si>
  <si>
    <t xml:space="preserve">1.1.1</t>
  </si>
  <si>
    <t xml:space="preserve">Rework MAVLink layer in SITL: single reader thread caching latest msg per type + timestamps; stale-data = invalid (no zero fallback)</t>
  </si>
  <si>
    <t xml:space="preserve">mavlink_iface.py passes SITL run; no dropped ATTITUDE/LOCAL_POSITION_NED</t>
  </si>
  <si>
    <t xml:space="preserve">1.1.2</t>
  </si>
  <si>
    <t xml:space="preserve">Decide landing trigger mode with Aga: GUIDED + RC switch vs ArduPilot PLND (LANDING_TARGET in LAND). Current code sends velocity in LAND → ignored by FC</t>
  </si>
  <si>
    <t xml:space="preserve">Written decision (1 paragraph) + FSM updated</t>
  </si>
  <si>
    <t xml:space="preserve">Aga: PID/Direct-Landing design, which mode his loop lives in</t>
  </si>
  <si>
    <t xml:space="preserve">Fathir + Aga</t>
  </si>
  <si>
    <t xml:space="preserve">1.1.3</t>
  </si>
  <si>
    <t xml:space="preserve">Pi 5 bring-up: OS, venv, camera driver (OV9281), UART map (FC and gimbal must NOT share /dev/serial0), power from BEC</t>
  </si>
  <si>
    <t xml:space="preserve">Pi boots on drone power; camera streams; 2 UARTs assigned</t>
  </si>
  <si>
    <t xml:space="preserve">Aga: wiring pinout, BEC spec</t>
  </si>
  <si>
    <t xml:space="preserve">1.1.4</t>
  </si>
  <si>
    <t xml:space="preserve">Real FC link, props OFF: set SERIALx_PROTOCOL=2 / BAUD=921, request msg rates (SET_MESSAGE_INTERVAL), measure real Hz + packet loss</t>
  </si>
  <si>
    <t xml:space="preserve">Log: ATTITUDE ≥50 Hz, LOCAL_POS ≥50 Hz, rangefinder ≥20 Hz, loss &lt;1%</t>
  </si>
  <si>
    <t xml:space="preserve">Aga: wiring done (Okt W3–W4), FC param access</t>
  </si>
  <si>
    <t xml:space="preserve">1.1.5</t>
  </si>
  <si>
    <t xml:space="preserve">Verify velocity frame (BODY_NED) + setpoint streaming 10–20 Hz + ~3 s FC timeout behaviour in SITL, then on bench (props off, watch commanded vs FC target)</t>
  </si>
  <si>
    <t xml:space="preserve">Yaw 90° + vx=+0.5 → moves along nose; timeout behaviour documented</t>
  </si>
  <si>
    <t xml:space="preserve">Aga: SITL param file of OUR drone</t>
  </si>
  <si>
    <t xml:space="preserve">1.1.6</t>
  </si>
  <si>
    <t xml:space="preserve">Failsafe design: companion heartbeat loss, Pi crash, camera loss → what FC does (FS_GCS / mode fallback)</t>
  </si>
  <si>
    <t xml:space="preserve">Failsafe table + tested in SITL</t>
  </si>
  <si>
    <t xml:space="preserve">Aga: FC failsafe params</t>
  </si>
  <si>
    <t xml:space="preserve">1.1.7</t>
  </si>
  <si>
    <t xml:space="preserve">Gimbal interface: confirm controller type (SimpleBGC serial vs servo PWM via FC) and angle sign/zero</t>
  </si>
  <si>
    <t xml:space="preserve">gimbal_iface.py matches real hardware; angle check vs inclinometer</t>
  </si>
  <si>
    <t xml:space="preserve">Pasha: ISP controller + servo wiring</t>
  </si>
  <si>
    <t xml:space="preserve">Fathir + Pasha</t>
  </si>
  <si>
    <t xml:space="preserve">1.2</t>
  </si>
  <si>
    <t xml:space="preserve">Kalibrasi kamera (Matriks K) — RE-DO on final hardware</t>
  </si>
  <si>
    <t xml:space="preserve">K, dist, extrinsics valid for the mounted camera</t>
  </si>
  <si>
    <t xml:space="preserve">1.2.1</t>
  </si>
  <si>
    <t xml:space="preserve">Print ChArUco board (A3, matte, on rigid board) + nested landing pad (matte, flat); caliper-measure real marker sides</t>
  </si>
  <si>
    <t xml:space="preserve">Board + pad ready; OUTER/INNER_MARKER_SIDE_M updated</t>
  </si>
  <si>
    <t xml:space="preserve">Aga: pengadaan print/board</t>
  </si>
  <si>
    <t xml:space="preserve">1.2.2</t>
  </si>
  <si>
    <t xml:space="preserve">Intrinsic calibration: lock &amp; glue lens focus, 20–40 ChArUco views at 640×400 detect stream (check 640×400 is binned, not cropped)</t>
  </si>
  <si>
    <t xml:space="preserve">RMS &lt; 0.5 px; CAM_K / CAM_DIST in config.py</t>
  </si>
  <si>
    <t xml:space="preserve">1.2.3</t>
  </si>
  <si>
    <t xml:space="preserve">Validate K: pad at 0.5 / 1 / 2 / 5 m (tape), centre + corners of image; compare tvec</t>
  </si>
  <si>
    <t xml:space="preserve">Distance error &lt; 2% table</t>
  </si>
  <si>
    <t xml:space="preserve">1.2.4</t>
  </si>
  <si>
    <t xml:space="preserve">Exposure/gain: fixed short exposure; blur test indoor (booth light) + outdoor</t>
  </si>
  <si>
    <t xml:space="preserve">Chosen exposure/gain per venue, documented</t>
  </si>
  <si>
    <t xml:space="preserve">1.2.5</t>
  </si>
  <si>
    <t xml:space="preserve">Extrinsics: camera→body axis signs (pad 50 cm fwd / right on stand) + lever-arm offset camera→CG and →landing-gear centre</t>
  </si>
  <si>
    <t xml:space="preserve">frames.py rotation verified + translation added</t>
  </si>
  <si>
    <t xml:space="preserve">Pasha: ISP CAD / mounted camera position</t>
  </si>
  <si>
    <t xml:space="preserve">1.2.6</t>
  </si>
  <si>
    <t xml:space="preserve">Static noise test: drone on stand at 0.5/1/2/5 m → pose std &amp; reproj-error distribution</t>
  </si>
  <si>
    <t xml:space="preserve">EKF_MEAS_POS_STD (vs height) + REPROJ_ERR_MAX_PX set from data</t>
  </si>
  <si>
    <t xml:space="preserve">1.2.x</t>
  </si>
  <si>
    <t xml:space="preserve">Recalibrate if lens/mount changes after ISP rework (contingency)</t>
  </si>
  <si>
    <t xml:space="preserve">Only if mount changed</t>
  </si>
  <si>
    <t xml:space="preserve">Pasha</t>
  </si>
  <si>
    <t xml:space="preserve">2</t>
  </si>
  <si>
    <t xml:space="preserve">Mekanik &amp; Hardware ISP (Pasha) — dependencies</t>
  </si>
  <si>
    <t xml:space="preserve">2.2</t>
  </si>
  <si>
    <t xml:space="preserve">Fabrikasi / perakitan ISP</t>
  </si>
  <si>
    <t xml:space="preserve">→ needed before final camera mount</t>
  </si>
  <si>
    <t xml:space="preserve">2.3</t>
  </si>
  <si>
    <t xml:space="preserve">Instalasi Motor Servo &amp; ISP</t>
  </si>
  <si>
    <t xml:space="preserve">→ blocks 1.2.5 extrinsics + 1.1.7 gimbal</t>
  </si>
  <si>
    <t xml:space="preserve">1.3</t>
  </si>
  <si>
    <t xml:space="preserve">Wiring Alat (Aga)</t>
  </si>
  <si>
    <t xml:space="preserve">→ blocks 1.1.4 real FC link</t>
  </si>
  <si>
    <t xml:space="preserve">3</t>
  </si>
  <si>
    <t xml:space="preserve">Sistem Kendali &amp; Logika (Aga) — dependencies</t>
  </si>
  <si>
    <t xml:space="preserve">3.1</t>
  </si>
  <si>
    <t xml:space="preserve">Set up ArduPilot SITL</t>
  </si>
  <si>
    <t xml:space="preserve">→ I plug the companion into it (4.1.1)</t>
  </si>
  <si>
    <t xml:space="preserve">3.2</t>
  </si>
  <si>
    <t xml:space="preserve">Implementasi PID Cascade (GPS &amp; Non-GPS)</t>
  </si>
  <si>
    <t xml:space="preserve">→ needs my latency number (4.1.3)</t>
  </si>
  <si>
    <t xml:space="preserve">3.3</t>
  </si>
  <si>
    <t xml:space="preserve">Logika Direct Landing (&lt; 110 cm)</t>
  </si>
  <si>
    <t xml:space="preserve">→ needs inner-marker lock above 110 cm (4.1.4)</t>
  </si>
  <si>
    <t xml:space="preserve">4</t>
  </si>
  <si>
    <t xml:space="preserve">Pengujian &amp; Validasi</t>
  </si>
  <si>
    <t xml:space="preserve">4.1</t>
  </si>
  <si>
    <t xml:space="preserve">Uji Simulasi &amp; Deteksi ArUco</t>
  </si>
  <si>
    <t xml:space="preserve">Detection + closed-loop evidence on real hardware for Bab 4</t>
  </si>
  <si>
    <t xml:space="preserve">4.1.1</t>
  </si>
  <si>
    <t xml:space="preserve">Companion ↔ ArduPilot SITL closed loop through REAL pymavlink path (not MockMavlink), with our drone's params</t>
  </si>
  <si>
    <t xml:space="preserve">SITL landing on static pad; residual logged</t>
  </si>
  <si>
    <t xml:space="preserve">Aga: SITL running (3.1)</t>
  </si>
  <si>
    <t xml:space="preserve">4.1.2</t>
  </si>
  <si>
    <t xml:space="preserve">Detection-rate vs height on REAL footage (handheld / pole at fixed heights) → feed exp_detection_rate.py; tune DetectorParameters</t>
  </si>
  <si>
    <t xml:space="preserve">Detection-rate per AGL band ≥ 95% (or documented limit)</t>
  </si>
  <si>
    <t xml:space="preserve">4.1.3</t>
  </si>
  <si>
    <t xml:space="preserve">Latency bench on Pi 5 with real camera (photon→setpoint)</t>
  </si>
  <si>
    <t xml:space="preserve">LATENCY_ALLOC_MS measured; number sent to Aga for Kp limit</t>
  </si>
  <si>
    <t xml:space="preserve">4.1.4</t>
  </si>
  <si>
    <t xml:space="preserve">Handoff / FOV check with real K: height where outer leaves FOV, inner lock height vs Direct Landing 110 cm; set HANDOFF_AGL_M</t>
  </si>
  <si>
    <t xml:space="preserve">Handoff table; inner locked well above 110 cm</t>
  </si>
  <si>
    <t xml:space="preserve">Aga: Direct-Landing threshold final</t>
  </si>
  <si>
    <t xml:space="preserve">4.1.5</t>
  </si>
  <si>
    <t xml:space="preserve">HITL bench: Pi + real FC props OFF, move pad under drone by hand → check setpoint signs/magnitudes</t>
  </si>
  <si>
    <t xml:space="preserve">Setpoints point toward pad in all 4 directions</t>
  </si>
  <si>
    <t xml:space="preserve">Aga: FC ready</t>
  </si>
  <si>
    <t xml:space="preserve">4.1.6</t>
  </si>
  <si>
    <t xml:space="preserve">Tethered / low hover with pad: perception log only (control still manual/PID)</t>
  </si>
  <si>
    <t xml:space="preserve">Flight log: detection rate &amp; noise in real flight</t>
  </si>
  <si>
    <t xml:space="preserve">Aga: drone flies stably (3.2)</t>
  </si>
  <si>
    <t xml:space="preserve">4.1.7</t>
  </si>
  <si>
    <t xml:space="preserve">Field detection test (official slot): detection rate vs AGL in flight, indoor + outdoor</t>
  </si>
  <si>
    <t xml:space="preserve">Bab 4 table + plot (detection_rate_vs_agl)</t>
  </si>
  <si>
    <t xml:space="preserve">Aga: pilot</t>
  </si>
  <si>
    <t xml:space="preserve">4.1.8</t>
  </si>
  <si>
    <t xml:space="preserve">Closed-loop vision landing: static pad → moving pad</t>
  </si>
  <si>
    <t xml:space="preserve">Pose + setpoint logs handed to Pasha for MAE</t>
  </si>
  <si>
    <t xml:space="preserve">Aga: PID + Direct Landing ready</t>
  </si>
  <si>
    <t xml:space="preserve">4.1.9</t>
  </si>
  <si>
    <t xml:space="preserve">Write-up: Bab 4 results for my items, figures, limits</t>
  </si>
  <si>
    <t xml:space="preserve">Draft section to team</t>
  </si>
  <si>
    <t xml:space="preserve">4.2</t>
  </si>
  <si>
    <t xml:space="preserve">Set-up &amp; Analisis MAE &amp; Radius Pendaratan (Pasha)</t>
  </si>
  <si>
    <t xml:space="preserve">← I supply time-synced pose/setpoint logs + lever-arm</t>
  </si>
  <si>
    <t xml:space="preserve">Progress</t>
  </si>
  <si>
    <t xml:space="preserve">Sub-tasks done</t>
  </si>
  <si>
    <t xml:space="preserve">% done</t>
  </si>
  <si>
    <t xml:space="preserve">Blocked</t>
  </si>
  <si>
    <t xml:space="preserve">Legend</t>
  </si>
  <si>
    <t xml:space="preserve">My work week</t>
  </si>
  <si>
    <t xml:space="preserve">No-work week (Timelinev2)</t>
  </si>
  <si>
    <t xml:space="preserve">Teammate slot I depend on</t>
  </si>
  <si>
    <t xml:space="preserve">Meeting / report</t>
  </si>
  <si>
    <t xml:space="preserve">Section header</t>
  </si>
  <si>
    <t xml:space="preserve">Assumptions</t>
  </si>
  <si>
    <t xml:space="preserve">• Week split W1=1–7, W2=8–14, W3=15–21, W4=22–end of month (Timelinev2 has no dates; adjust if your weeks are Mon-based).</t>
  </si>
  <si>
    <t xml:space="preserve">• Okt W1 only has 6–7 Oct left, so it holds short tasks only.</t>
  </si>
  <si>
    <t xml:space="preserve">• Sep items 1.1 / 1.2 counted as done on the SITL/placeholder level; the 1.x.y rows here are the redo on the physical drone.</t>
  </si>
  <si>
    <t xml:space="preserve">• Teammate slots (grey) copied from Timelinev2 as of 6 Oct 2026. If they move, my dependent rows move with them.</t>
  </si>
  <si>
    <t xml:space="preserve">Weekly checklist — Fathir (tick Status as you go)</t>
  </si>
  <si>
    <t xml:space="preserve">Minggu</t>
  </si>
  <si>
    <t xml:space="preserve">Tanggal</t>
  </si>
  <si>
    <t xml:space="preserve">To-do</t>
  </si>
  <si>
    <t xml:space="preserve">Done when…</t>
  </si>
  <si>
    <t xml:space="preserve">Butuh dari</t>
  </si>
  <si>
    <t xml:space="preserve">Catatan</t>
  </si>
  <si>
    <t xml:space="preserve">Okt W1</t>
  </si>
  <si>
    <t xml:space="preserve">6–7 Okt</t>
  </si>
  <si>
    <t xml:space="preserve">Send comms/calibration status section for laporan kemajuan to Aga</t>
  </si>
  <si>
    <t xml:space="preserve">Aga has the text + 1–2 figures</t>
  </si>
  <si>
    <t xml:space="preserve">Aga: template</t>
  </si>
  <si>
    <t xml:space="preserve">Branch + start MAVLink reader-thread refactor (latest-message cache)</t>
  </si>
  <si>
    <t xml:space="preserve">Runs against SITL without missing ATTITUDE</t>
  </si>
  <si>
    <t xml:space="preserve">Generate ChArUco board PDF + pad PDF; ask Aga to buy print (matte, rigid)</t>
  </si>
  <si>
    <t xml:space="preserve">Order placed</t>
  </si>
  <si>
    <t xml:space="preserve">Aga: pengadaan</t>
  </si>
  <si>
    <t xml:space="preserve">Okt W2</t>
  </si>
  <si>
    <t xml:space="preserve">8–14 Okt</t>
  </si>
  <si>
    <t xml:space="preserve">—</t>
  </si>
  <si>
    <t xml:space="preserve">NO WORK WEEK (laporan kemajuan due)</t>
  </si>
  <si>
    <t xml:space="preserve">Okt W3</t>
  </si>
  <si>
    <t xml:space="preserve">15–21 Okt</t>
  </si>
  <si>
    <t xml:space="preserve">Finish reader thread; stale-data handling; unit test with MockMavlink</t>
  </si>
  <si>
    <t xml:space="preserve">Tests pass</t>
  </si>
  <si>
    <t xml:space="preserve">Meet Aga: GUIDED+switch vs PLND decision; update fsm.py trigger</t>
  </si>
  <si>
    <t xml:space="preserve">Decision written in notes.md</t>
  </si>
  <si>
    <t xml:space="preserve">Pi 5 bring-up on drone: OS, venv, OV9281 stream, UART assignment (FC ≠ gimbal port)</t>
  </si>
  <si>
    <t xml:space="preserve">ls -l /dev/serial*; camera frames saved</t>
  </si>
  <si>
    <t xml:space="preserve">Aga: pinout</t>
  </si>
  <si>
    <t xml:space="preserve">Measure printed marker sides with calipers → config.py</t>
  </si>
  <si>
    <t xml:space="preserve">Sides in config</t>
  </si>
  <si>
    <t xml:space="preserve">Lock lens focus; start ChArUco capture</t>
  </si>
  <si>
    <t xml:space="preserve">≥20 views captured</t>
  </si>
  <si>
    <t xml:space="preserve">Client meeting: show live detection on real camera</t>
  </si>
  <si>
    <t xml:space="preserve">Demo works</t>
  </si>
  <si>
    <t xml:space="preserve">Okt W4</t>
  </si>
  <si>
    <t xml:space="preserve">22–31 Okt</t>
  </si>
  <si>
    <t xml:space="preserve">Finish intrinsic calibration at 640×400 (confirm binned, not cropped)</t>
  </si>
  <si>
    <t xml:space="preserve">RMS &lt; 0.5 px</t>
  </si>
  <si>
    <t xml:space="preserve">Tape-measure validation 0.5/1/2/5 m</t>
  </si>
  <si>
    <t xml:space="preserve">Distance error &lt; 2%</t>
  </si>
  <si>
    <t xml:space="preserve">Connect Pi↔FC (props off), set SERIAL params, request msg rates, measure Hz + loss</t>
  </si>
  <si>
    <t xml:space="preserve">Rates &amp; loss logged</t>
  </si>
  <si>
    <t xml:space="preserve">Aga: wiring finished</t>
  </si>
  <si>
    <t xml:space="preserve">Nov W1</t>
  </si>
  <si>
    <t xml:space="preserve">1–7 Nov</t>
  </si>
  <si>
    <t xml:space="preserve">Exposure/gain + blur test (indoor + outdoor)</t>
  </si>
  <si>
    <t xml:space="preserve">Settings chosen</t>
  </si>
  <si>
    <t xml:space="preserve">Record footage at fixed heights (pole/handheld); run detection-rate script on it</t>
  </si>
  <si>
    <t xml:space="preserve">Rate per band table</t>
  </si>
  <si>
    <t xml:space="preserve">Ask Pasha: gimbal controller type, wiring, angle conventions</t>
  </si>
  <si>
    <t xml:space="preserve">gimbal_iface plan</t>
  </si>
  <si>
    <t xml:space="preserve">Nov W2</t>
  </si>
  <si>
    <t xml:space="preserve">8–14 Nov</t>
  </si>
  <si>
    <t xml:space="preserve">Tune ArUco DetectorParameters on real footage (glare, far range)</t>
  </si>
  <si>
    <t xml:space="preserve">≥95% per band or limit documented</t>
  </si>
  <si>
    <t xml:space="preserve">Latency bench on Pi 5 with real camera; send result to Aga</t>
  </si>
  <si>
    <t xml:space="preserve">LATENCY_ALLOC_MS measured</t>
  </si>
  <si>
    <t xml:space="preserve">→ Aga</t>
  </si>
  <si>
    <t xml:space="preserve">Implement/verify gimbal interface on installed ISP</t>
  </si>
  <si>
    <t xml:space="preserve">Angles match inclinometer</t>
  </si>
  <si>
    <t xml:space="preserve">Pasha: ISP installed</t>
  </si>
  <si>
    <t xml:space="preserve">SITL: verify BODY_NED velocity frame + 3 s timeout</t>
  </si>
  <si>
    <t xml:space="preserve">Behaviour documented</t>
  </si>
  <si>
    <t xml:space="preserve">Aga: SITL</t>
  </si>
  <si>
    <t xml:space="preserve">Nov W3</t>
  </si>
  <si>
    <t xml:space="preserve">15–21 Nov</t>
  </si>
  <si>
    <t xml:space="preserve">Extrinsics: axis-sign test on stand + lever-arm from CAD/ruler → frames.py</t>
  </si>
  <si>
    <t xml:space="preserve">Signs correct, offset added</t>
  </si>
  <si>
    <t xml:space="preserve">Pasha: CAD</t>
  </si>
  <si>
    <t xml:space="preserve">Static noise test at 4 heights → EKF_MEAS_POS_STD, REPROJ gate</t>
  </si>
  <si>
    <t xml:space="preserve">Values from data</t>
  </si>
  <si>
    <t xml:space="preserve">Hook companion into Aga's SITL via real pymavlink path</t>
  </si>
  <si>
    <t xml:space="preserve">Companion controls SITL drone</t>
  </si>
  <si>
    <t xml:space="preserve">Nov W4</t>
  </si>
  <si>
    <t xml:space="preserve">22–30 Nov</t>
  </si>
  <si>
    <t xml:space="preserve">SITL closed-loop landing on static pad with our params</t>
  </si>
  <si>
    <t xml:space="preserve">Residual logged</t>
  </si>
  <si>
    <t xml:space="preserve">Failsafe table (heartbeat/Pi/camera loss) + SITL test</t>
  </si>
  <si>
    <t xml:space="preserve">Table + test log</t>
  </si>
  <si>
    <t xml:space="preserve">Aga: FS params</t>
  </si>
  <si>
    <t xml:space="preserve">Des W1</t>
  </si>
  <si>
    <t xml:space="preserve">1–7 Des</t>
  </si>
  <si>
    <t xml:space="preserve">Handoff/FOV table with real K; set HANDOFF_AGL_M vs 110 cm Direct Landing</t>
  </si>
  <si>
    <t xml:space="preserve">Inner lock above 110 cm</t>
  </si>
  <si>
    <t xml:space="preserve">Aga: threshold</t>
  </si>
  <si>
    <t xml:space="preserve">SITL moving-target run; prep plots</t>
  </si>
  <si>
    <t xml:space="preserve">Plots for dosen meeting</t>
  </si>
  <si>
    <t xml:space="preserve">Dosen meeting: SITL closed loop + calibration results</t>
  </si>
  <si>
    <t xml:space="preserve">Des W2</t>
  </si>
  <si>
    <t xml:space="preserve">8–14 Des</t>
  </si>
  <si>
    <t xml:space="preserve">NO WORK WEEK</t>
  </si>
  <si>
    <t xml:space="preserve">Des W3</t>
  </si>
  <si>
    <t xml:space="preserve">15–21 Des</t>
  </si>
  <si>
    <t xml:space="preserve">Des W4</t>
  </si>
  <si>
    <t xml:space="preserve">22–31 Des</t>
  </si>
  <si>
    <t xml:space="preserve">HITL bench props off: move pad, check setpoint signs/magnitudes</t>
  </si>
  <si>
    <t xml:space="preserve">Correct direction all 4 sides</t>
  </si>
  <si>
    <t xml:space="preserve">Aga: FC</t>
  </si>
  <si>
    <t xml:space="preserve">Recalibrate only if mount/lens changed</t>
  </si>
  <si>
    <t xml:space="preserve">0.0/0.1</t>
  </si>
  <si>
    <t xml:space="preserve">Dosen + client meetings</t>
  </si>
  <si>
    <t xml:space="preserve">Jan W1</t>
  </si>
  <si>
    <t xml:space="preserve">1–7 Jan</t>
  </si>
  <si>
    <t xml:space="preserve">Tethered/low hover with pad, perception logging only</t>
  </si>
  <si>
    <t xml:space="preserve">Flight log</t>
  </si>
  <si>
    <t xml:space="preserve">Aga: stable flight</t>
  </si>
  <si>
    <t xml:space="preserve">Agree log format/time sync with Pasha for MAE</t>
  </si>
  <si>
    <t xml:space="preserve">Pasha can compute MAE from my log</t>
  </si>
  <si>
    <t xml:space="preserve">Jan W2</t>
  </si>
  <si>
    <t xml:space="preserve">8–14 Jan</t>
  </si>
  <si>
    <t xml:space="preserve">Field detection test in flight (indoor)</t>
  </si>
  <si>
    <t xml:space="preserve">Bab 4 table</t>
  </si>
  <si>
    <t xml:space="preserve">Client meeting</t>
  </si>
  <si>
    <t xml:space="preserve">Jan W3</t>
  </si>
  <si>
    <t xml:space="preserve">15–21 Jan</t>
  </si>
  <si>
    <t xml:space="preserve">Field detection test in flight (outdoor)</t>
  </si>
  <si>
    <t xml:space="preserve">Plot detection rate vs AGL</t>
  </si>
  <si>
    <t xml:space="preserve">Closed-loop landing, static pad</t>
  </si>
  <si>
    <t xml:space="preserve">Logs → Pasha</t>
  </si>
  <si>
    <t xml:space="preserve">Aga: PID + Direct Landing</t>
  </si>
  <si>
    <t xml:space="preserve">Jan W4</t>
  </si>
  <si>
    <t xml:space="preserve">22–31 Jan</t>
  </si>
  <si>
    <t xml:space="preserve">Closed-loop landing, moving pad</t>
  </si>
  <si>
    <t xml:space="preserve">Write Bab 4 section for my items</t>
  </si>
  <si>
    <t xml:space="preserve">Draft to team</t>
  </si>
  <si>
    <t xml:space="preserve">Done</t>
  </si>
  <si>
    <t xml:space="preserve">What I need from the others (ask early, by the 'Needed by' week)</t>
  </si>
  <si>
    <t xml:space="preserve">Dari</t>
  </si>
  <si>
    <t xml:space="preserve">Apa</t>
  </si>
  <si>
    <t xml:space="preserve">Kenapa (dipakai di)</t>
  </si>
  <si>
    <t xml:space="preserve">Needed by</t>
  </si>
  <si>
    <t xml:space="preserve">Template + deadline laporan kemajuan</t>
  </si>
  <si>
    <t xml:space="preserve">Not asked</t>
  </si>
  <si>
    <t xml:space="preserve">Purchase: ChArUco board print (A3 rigid), matte landing pad print</t>
  </si>
  <si>
    <t xml:space="preserve">Wiring pinout: which Pi UART ↔ FC TELEM port, BEC rating for Pi 5</t>
  </si>
  <si>
    <t xml:space="preserve">1.1.3, 1.1.4</t>
  </si>
  <si>
    <t xml:space="preserve">Which flight mode his PID / Direct Landing runs in (GUIDED vs LAND+PLND)</t>
  </si>
  <si>
    <t xml:space="preserve">1.1.2 (current code is wrong for real FC)</t>
  </si>
  <si>
    <t xml:space="preserve">Rangefinder model + RNGFND params (AGL source); GPS vs non-GPS EKF source setup</t>
  </si>
  <si>
    <t xml:space="preserve">1.1.4, read_agl / read_velocity_body</t>
  </si>
  <si>
    <t xml:space="preserve">FC parameter file of the real drone (.param) for SITL</t>
  </si>
  <si>
    <t xml:space="preserve">1.1.5, 4.1.1</t>
  </si>
  <si>
    <t xml:space="preserve">FC failsafe params (FS_GCS etc.)</t>
  </si>
  <si>
    <t xml:space="preserve">Final Direct-Landing threshold (110 cm?) and what it expects from vision below it</t>
  </si>
  <si>
    <t xml:space="preserve">4.1.4 handoff</t>
  </si>
  <si>
    <t xml:space="preserve">Pilot availability + stable manual/PID flight</t>
  </si>
  <si>
    <t xml:space="preserve">4.1.6–4.1.8</t>
  </si>
  <si>
    <t xml:space="preserve">Gimbal controller type (SimpleBGC serial vs servo PWM), wiring, axis sign conventions</t>
  </si>
  <si>
    <t xml:space="preserve">1.1.7 gimbal_iface.py</t>
  </si>
  <si>
    <t xml:space="preserve">ISP CAD: camera optical centre position vs FC/CG and landing-gear centre</t>
  </si>
  <si>
    <t xml:space="preserve">1.2.5 lever arm</t>
  </si>
  <si>
    <t xml:space="preserve">Notice if lens/mount changes after calibration</t>
  </si>
  <si>
    <t xml:space="preserve">1.2.x recalibration</t>
  </si>
  <si>
    <t xml:space="preserve">Any time</t>
  </si>
  <si>
    <t xml:space="preserve">MAE setup: how ground truth is measured, log format/time sync he needs</t>
  </si>
  <si>
    <t xml:space="preserve">4.1.8 → 4.2</t>
  </si>
  <si>
    <t xml:space="preserve">Me → Aga</t>
  </si>
  <si>
    <t xml:space="preserve">Measured latency (photon→setpoint) for his Kp limit</t>
  </si>
  <si>
    <t xml:space="preserve">Height where inner marker is reliably locked</t>
  </si>
  <si>
    <t xml:space="preserve">Me → Pasha</t>
  </si>
  <si>
    <t xml:space="preserve">Lever-arm-corrected pose + setpoint logs</t>
  </si>
  <si>
    <t xml:space="preserve">4.2 MAE</t>
  </si>
  <si>
    <t xml:space="preserve">Parameters to (re)determine on the physical drone</t>
  </si>
  <si>
    <t xml:space="preserve">Parameter</t>
  </si>
  <si>
    <t xml:space="preserve">File</t>
  </si>
  <si>
    <t xml:space="preserve">Nilai sekarang</t>
  </si>
  <si>
    <t xml:space="preserve">Cara menentukan</t>
  </si>
  <si>
    <t xml:space="preserve">Kriteria</t>
  </si>
  <si>
    <t xml:space="preserve">Nilai baru</t>
  </si>
  <si>
    <t xml:space="preserve">CAM_K, CAM_DIST</t>
  </si>
  <si>
    <t xml:space="preserve">config.py</t>
  </si>
  <si>
    <t xml:space="preserve">fx=fy=560, cx=320, cy=200; dist=0 (placeholder)</t>
  </si>
  <si>
    <t xml:space="preserve">ChArUco calibration on 640×400 stream, focus locked</t>
  </si>
  <si>
    <t xml:space="preserve">RMS &lt; 0.5 px; tape test &lt; 2%</t>
  </si>
  <si>
    <t xml:space="preserve">1.2.2–1.2.3</t>
  </si>
  <si>
    <t xml:space="preserve">OUTER/INNER_MARKER_SIDE_M</t>
  </si>
  <si>
    <t xml:space="preserve">1.250 / 0.100</t>
  </si>
  <si>
    <t xml:space="preserve">Caliper on printed black border; consider smaller outer for real altitude range</t>
  </si>
  <si>
    <t xml:space="preserve">±1 mm</t>
  </si>
  <si>
    <t xml:space="preserve">_NADIR_CAM_TO_BODY</t>
  </si>
  <si>
    <t xml:space="preserve">frames.py</t>
  </si>
  <si>
    <t xml:space="preserve">diag(1,-1,1) (from synthetic cam)</t>
  </si>
  <si>
    <t xml:space="preserve">Pad 50 cm fwd / right of drone on stand, check pos_body signs</t>
  </si>
  <si>
    <t xml:space="preserve">Signs correct</t>
  </si>
  <si>
    <t xml:space="preserve">Lever arm (new)</t>
  </si>
  <si>
    <t xml:space="preserve">none (rotation only)</t>
  </si>
  <si>
    <t xml:space="preserve">CAD / ruler: camera centre → CG and → gear centre</t>
  </si>
  <si>
    <t xml:space="preserve">±5 mm</t>
  </si>
  <si>
    <t xml:space="preserve">Gimbal angle sign/zero</t>
  </si>
  <si>
    <t xml:space="preserve">gimbal_iface.py</t>
  </si>
  <si>
    <t xml:space="preserve">assumed</t>
  </si>
  <si>
    <t xml:space="preserve">Tilt by hand vs inclinometer</t>
  </si>
  <si>
    <t xml:space="preserve">±2°</t>
  </si>
  <si>
    <t xml:space="preserve">Exposure / gain</t>
  </si>
  <si>
    <t xml:space="preserve">camera setup</t>
  </si>
  <si>
    <t xml:space="preserve">auto</t>
  </si>
  <si>
    <t xml:space="preserve">Hover/handheld blur test, indoor + outdoor</t>
  </si>
  <si>
    <t xml:space="preserve">No visible blur at max speed</t>
  </si>
  <si>
    <t xml:space="preserve">EKF_MEAS_POS_STD</t>
  </si>
  <si>
    <t xml:space="preserve">0.04 m</t>
  </si>
  <si>
    <t xml:space="preserve">Static pose std at 0.5/1/2/5 m (expect ~z²)</t>
  </si>
  <si>
    <t xml:space="preserve">From data</t>
  </si>
  <si>
    <t xml:space="preserve">REPROJ_ERR_MAX_PX</t>
  </si>
  <si>
    <t xml:space="preserve">3.0 px</t>
  </si>
  <si>
    <t xml:space="preserve">1.5 × 99th percentile of good real detections</t>
  </si>
  <si>
    <t xml:space="preserve">DetectorParameters</t>
  </si>
  <si>
    <t xml:space="preserve">markers.py</t>
  </si>
  <si>
    <t xml:space="preserve">OpenCV defaults + subpix</t>
  </si>
  <si>
    <t xml:space="preserve">Tune on real footage (adaptive threshold window, min perimeter)</t>
  </si>
  <si>
    <t xml:space="preserve">≥95% per AGL band</t>
  </si>
  <si>
    <t xml:space="preserve">LATENCY_ALLOC_MS</t>
  </si>
  <si>
    <t xml:space="preserve">sum 40 ms (estimate)</t>
  </si>
  <si>
    <t xml:space="preserve">latency_bench.py on Pi 5 + real camera</t>
  </si>
  <si>
    <t xml:space="preserve">≤ 66 ms ceiling</t>
  </si>
  <si>
    <t xml:space="preserve">HANDOFF_AGL_M</t>
  </si>
  <si>
    <t xml:space="preserve">0.90 m</t>
  </si>
  <si>
    <t xml:space="preserve">Real-K FOV calc + test; outer leaves FOV ≈ side·fy / (0.8·400)</t>
  </si>
  <si>
    <t xml:space="preserve">Inner locked above Direct-Landing threshold</t>
  </si>
  <si>
    <t xml:space="preserve">FLARE_AGL_M</t>
  </si>
  <si>
    <t xml:space="preserve">0.28 m</t>
  </si>
  <si>
    <t xml:space="preserve">Camera height when landed + lens min focus distance</t>
  </si>
  <si>
    <t xml:space="preserve">Measured</t>
  </si>
  <si>
    <t xml:space="preserve">MAVLINK_CONN / BAUD</t>
  </si>
  <si>
    <t xml:space="preserve">udp SITL / 921600</t>
  </si>
  <si>
    <t xml:space="preserve">Real UART device; packet-loss test</t>
  </si>
  <si>
    <t xml:space="preserve">Loss &lt; 1%</t>
  </si>
  <si>
    <t xml:space="preserve">GIMBAL_SERIAL_PORT</t>
  </si>
  <si>
    <t xml:space="preserve">/dev/serial0 (clashes w/ FC)</t>
  </si>
  <si>
    <t xml:space="preserve">Assign separate UART / USB</t>
  </si>
  <si>
    <t xml:space="preserve">No shared port</t>
  </si>
  <si>
    <t xml:space="preserve">Message rates</t>
  </si>
  <si>
    <t xml:space="preserve">mavlink_iface.py</t>
  </si>
  <si>
    <t xml:space="preserve">not requested</t>
  </si>
  <si>
    <t xml:space="preserve">SET_MESSAGE_INTERVAL + measure</t>
  </si>
  <si>
    <t xml:space="preserve">ATT/POS ≥50 Hz, AGL ≥20 Hz</t>
  </si>
  <si>
    <t xml:space="preserve">Landing trigger mode</t>
  </si>
  <si>
    <t xml:space="preserve">fsm.py / mavlink_iface.py</t>
  </si>
  <si>
    <t xml:space="preserve">LAND (custom_mode 9)</t>
  </si>
  <si>
    <t xml:space="preserve">Decide with Aga; SITL test</t>
  </si>
  <si>
    <t xml:space="preserve">FC actually follows setpoints</t>
  </si>
  <si>
    <t xml:space="preserve">Yellow = fill in the measured value. Current values are read from landing_sw/ on 6 Oct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</si>
</sst>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FE2F3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F4B183"/>
        <bgColor rgb="FFFFC7CE"/>
      </patternFill>
    </fill>
    <fill>
      <patternFill patternType="solid">
        <fgColor rgb="FF6D9EEB"/>
        <bgColor rgb="FF969696"/>
      </patternFill>
    </fill>
    <fill>
      <patternFill patternType="solid">
        <fgColor rgb="FFD9D9D9"/>
        <bgColor rgb="FFCFE2F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6D9EEB"/>
      <rgbColor rgb="FF993366"/>
      <rgbColor rgb="FFFFFFCC"/>
      <rgbColor rgb="FFD9D9D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W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G6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22" min="7" style="0" width="7.5"/>
    <col collapsed="false" customWidth="true" hidden="false" outlineLevel="0" max="23" min="23" style="0" width="12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/>
      <c r="I4" s="3"/>
      <c r="J4" s="3"/>
      <c r="K4" s="3" t="s">
        <v>8</v>
      </c>
      <c r="L4" s="3"/>
      <c r="M4" s="3"/>
      <c r="N4" s="3"/>
      <c r="O4" s="3" t="s">
        <v>9</v>
      </c>
      <c r="P4" s="3"/>
      <c r="Q4" s="3"/>
      <c r="R4" s="3"/>
      <c r="S4" s="3" t="s">
        <v>10</v>
      </c>
      <c r="T4" s="3"/>
      <c r="U4" s="3"/>
      <c r="V4" s="3"/>
      <c r="W4" s="3" t="s">
        <v>11</v>
      </c>
    </row>
    <row r="5" customFormat="false" ht="27.75" hidden="false" customHeight="true" outlineLevel="0" collapsed="false">
      <c r="B5" s="3"/>
      <c r="C5" s="3"/>
      <c r="D5" s="3"/>
      <c r="E5" s="3"/>
      <c r="F5" s="3"/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/>
    </row>
    <row r="6" customFormat="false" ht="15" hidden="false" customHeight="false" outlineLevel="0" collapsed="false">
      <c r="B6" s="4" t="s">
        <v>28</v>
      </c>
      <c r="C6" s="4" t="s">
        <v>29</v>
      </c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6"/>
    </row>
    <row r="7" customFormat="false" ht="15" hidden="false" customHeight="false" outlineLevel="0" collapsed="false">
      <c r="B7" s="7" t="s">
        <v>30</v>
      </c>
      <c r="C7" s="7" t="s">
        <v>31</v>
      </c>
      <c r="D7" s="7" t="s">
        <v>32</v>
      </c>
      <c r="E7" s="7"/>
      <c r="F7" s="7" t="s">
        <v>33</v>
      </c>
      <c r="G7" s="8"/>
      <c r="H7" s="9"/>
      <c r="I7" s="8"/>
      <c r="J7" s="8"/>
      <c r="K7" s="8"/>
      <c r="L7" s="8"/>
      <c r="M7" s="8"/>
      <c r="N7" s="8"/>
      <c r="O7" s="10"/>
      <c r="P7" s="9"/>
      <c r="Q7" s="9"/>
      <c r="R7" s="10"/>
      <c r="S7" s="8"/>
      <c r="T7" s="8"/>
      <c r="U7" s="8"/>
      <c r="V7" s="8"/>
      <c r="W7" s="11"/>
    </row>
    <row r="8" customFormat="false" ht="22.35" hidden="false" customHeight="false" outlineLevel="0" collapsed="false">
      <c r="B8" s="7" t="s">
        <v>34</v>
      </c>
      <c r="C8" s="7" t="s">
        <v>35</v>
      </c>
      <c r="D8" s="7" t="s">
        <v>36</v>
      </c>
      <c r="E8" s="7"/>
      <c r="F8" s="7" t="s">
        <v>33</v>
      </c>
      <c r="G8" s="8"/>
      <c r="H8" s="9"/>
      <c r="I8" s="10"/>
      <c r="J8" s="8"/>
      <c r="K8" s="8"/>
      <c r="L8" s="8"/>
      <c r="M8" s="8"/>
      <c r="N8" s="8"/>
      <c r="O8" s="8"/>
      <c r="P8" s="9"/>
      <c r="Q8" s="9"/>
      <c r="R8" s="10"/>
      <c r="S8" s="8"/>
      <c r="T8" s="10"/>
      <c r="U8" s="8"/>
      <c r="V8" s="8"/>
      <c r="W8" s="11"/>
    </row>
    <row r="9" customFormat="false" ht="22.35" hidden="false" customHeight="false" outlineLevel="0" collapsed="false">
      <c r="B9" s="7" t="s">
        <v>37</v>
      </c>
      <c r="C9" s="7" t="s">
        <v>38</v>
      </c>
      <c r="D9" s="7" t="s">
        <v>39</v>
      </c>
      <c r="E9" s="7"/>
      <c r="F9" s="7" t="s">
        <v>33</v>
      </c>
      <c r="G9" s="8"/>
      <c r="H9" s="10"/>
      <c r="I9" s="8"/>
      <c r="J9" s="8"/>
      <c r="K9" s="8"/>
      <c r="L9" s="8"/>
      <c r="M9" s="8"/>
      <c r="N9" s="8"/>
      <c r="O9" s="8"/>
      <c r="P9" s="9"/>
      <c r="Q9" s="9"/>
      <c r="R9" s="8"/>
      <c r="S9" s="8"/>
      <c r="T9" s="8"/>
      <c r="U9" s="8"/>
      <c r="V9" s="8"/>
      <c r="W9" s="11"/>
    </row>
    <row r="10" customFormat="false" ht="15" hidden="false" customHeight="false" outlineLevel="0" collapsed="false">
      <c r="B10" s="4" t="s">
        <v>40</v>
      </c>
      <c r="C10" s="4" t="s">
        <v>41</v>
      </c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6"/>
    </row>
    <row r="11" customFormat="false" ht="22.35" hidden="false" customHeight="false" outlineLevel="0" collapsed="false">
      <c r="B11" s="12" t="s">
        <v>42</v>
      </c>
      <c r="C11" s="12" t="s">
        <v>43</v>
      </c>
      <c r="D11" s="12" t="s">
        <v>44</v>
      </c>
      <c r="E11" s="12"/>
      <c r="F11" s="12" t="s">
        <v>45</v>
      </c>
      <c r="G11" s="8"/>
      <c r="H11" s="9"/>
      <c r="I11" s="8"/>
      <c r="J11" s="8"/>
      <c r="K11" s="8"/>
      <c r="L11" s="8"/>
      <c r="M11" s="8"/>
      <c r="N11" s="8"/>
      <c r="O11" s="8"/>
      <c r="P11" s="9"/>
      <c r="Q11" s="9"/>
      <c r="R11" s="8"/>
      <c r="S11" s="8"/>
      <c r="T11" s="8"/>
      <c r="U11" s="8"/>
      <c r="V11" s="8"/>
      <c r="W11" s="11"/>
    </row>
    <row r="12" customFormat="false" ht="22.35" hidden="false" customHeight="false" outlineLevel="0" collapsed="false">
      <c r="B12" s="7" t="s">
        <v>46</v>
      </c>
      <c r="C12" s="7" t="s">
        <v>47</v>
      </c>
      <c r="D12" s="7" t="s">
        <v>48</v>
      </c>
      <c r="E12" s="7" t="s">
        <v>49</v>
      </c>
      <c r="F12" s="7" t="s">
        <v>45</v>
      </c>
      <c r="G12" s="13"/>
      <c r="H12" s="9"/>
      <c r="I12" s="8"/>
      <c r="J12" s="8"/>
      <c r="K12" s="8"/>
      <c r="L12" s="8"/>
      <c r="M12" s="8"/>
      <c r="N12" s="8"/>
      <c r="O12" s="8"/>
      <c r="P12" s="9"/>
      <c r="Q12" s="9"/>
      <c r="R12" s="8"/>
      <c r="S12" s="8"/>
      <c r="T12" s="8"/>
      <c r="U12" s="8"/>
      <c r="V12" s="8"/>
      <c r="W12" s="11" t="s">
        <v>50</v>
      </c>
    </row>
    <row r="13" customFormat="false" ht="22.35" hidden="false" customHeight="false" outlineLevel="0" collapsed="false">
      <c r="B13" s="7" t="s">
        <v>51</v>
      </c>
      <c r="C13" s="7" t="s">
        <v>52</v>
      </c>
      <c r="D13" s="7" t="s">
        <v>53</v>
      </c>
      <c r="E13" s="7"/>
      <c r="F13" s="7" t="s">
        <v>45</v>
      </c>
      <c r="G13" s="13"/>
      <c r="H13" s="9"/>
      <c r="I13" s="13"/>
      <c r="J13" s="8"/>
      <c r="K13" s="8"/>
      <c r="L13" s="8"/>
      <c r="M13" s="8"/>
      <c r="N13" s="8"/>
      <c r="O13" s="8"/>
      <c r="P13" s="9"/>
      <c r="Q13" s="9"/>
      <c r="R13" s="8"/>
      <c r="S13" s="8"/>
      <c r="T13" s="8"/>
      <c r="U13" s="8"/>
      <c r="V13" s="8"/>
      <c r="W13" s="11" t="s">
        <v>50</v>
      </c>
    </row>
    <row r="14" customFormat="false" ht="32.8" hidden="false" customHeight="false" outlineLevel="0" collapsed="false">
      <c r="B14" s="7" t="s">
        <v>54</v>
      </c>
      <c r="C14" s="7" t="s">
        <v>55</v>
      </c>
      <c r="D14" s="7" t="s">
        <v>56</v>
      </c>
      <c r="E14" s="7" t="s">
        <v>57</v>
      </c>
      <c r="F14" s="7" t="s">
        <v>58</v>
      </c>
      <c r="G14" s="8"/>
      <c r="H14" s="9"/>
      <c r="I14" s="13"/>
      <c r="J14" s="8"/>
      <c r="K14" s="8"/>
      <c r="L14" s="8"/>
      <c r="M14" s="8"/>
      <c r="N14" s="8"/>
      <c r="O14" s="8"/>
      <c r="P14" s="9"/>
      <c r="Q14" s="9"/>
      <c r="R14" s="8"/>
      <c r="S14" s="8"/>
      <c r="T14" s="8"/>
      <c r="U14" s="8"/>
      <c r="V14" s="8"/>
      <c r="W14" s="11" t="s">
        <v>50</v>
      </c>
    </row>
    <row r="15" customFormat="false" ht="22.35" hidden="false" customHeight="false" outlineLevel="0" collapsed="false">
      <c r="B15" s="7" t="s">
        <v>59</v>
      </c>
      <c r="C15" s="7" t="s">
        <v>60</v>
      </c>
      <c r="D15" s="7" t="s">
        <v>61</v>
      </c>
      <c r="E15" s="7" t="s">
        <v>62</v>
      </c>
      <c r="F15" s="7" t="s">
        <v>45</v>
      </c>
      <c r="G15" s="8"/>
      <c r="H15" s="9"/>
      <c r="I15" s="13"/>
      <c r="J15" s="8"/>
      <c r="K15" s="8"/>
      <c r="L15" s="8"/>
      <c r="M15" s="8"/>
      <c r="N15" s="8"/>
      <c r="O15" s="8"/>
      <c r="P15" s="9"/>
      <c r="Q15" s="9"/>
      <c r="R15" s="8"/>
      <c r="S15" s="8"/>
      <c r="T15" s="8"/>
      <c r="U15" s="8"/>
      <c r="V15" s="8"/>
      <c r="W15" s="11" t="s">
        <v>50</v>
      </c>
    </row>
    <row r="16" customFormat="false" ht="22.35" hidden="false" customHeight="false" outlineLevel="0" collapsed="false">
      <c r="B16" s="7" t="s">
        <v>63</v>
      </c>
      <c r="C16" s="7" t="s">
        <v>64</v>
      </c>
      <c r="D16" s="7" t="s">
        <v>65</v>
      </c>
      <c r="E16" s="7" t="s">
        <v>66</v>
      </c>
      <c r="F16" s="7" t="s">
        <v>45</v>
      </c>
      <c r="G16" s="8"/>
      <c r="H16" s="9"/>
      <c r="I16" s="8"/>
      <c r="J16" s="13"/>
      <c r="K16" s="8"/>
      <c r="L16" s="8"/>
      <c r="M16" s="8"/>
      <c r="N16" s="8"/>
      <c r="O16" s="8"/>
      <c r="P16" s="9"/>
      <c r="Q16" s="9"/>
      <c r="R16" s="8"/>
      <c r="S16" s="8"/>
      <c r="T16" s="8"/>
      <c r="U16" s="8"/>
      <c r="V16" s="8"/>
      <c r="W16" s="11" t="s">
        <v>50</v>
      </c>
    </row>
    <row r="17" customFormat="false" ht="32.8" hidden="false" customHeight="false" outlineLevel="0" collapsed="false">
      <c r="B17" s="7" t="s">
        <v>67</v>
      </c>
      <c r="C17" s="7" t="s">
        <v>68</v>
      </c>
      <c r="D17" s="7" t="s">
        <v>69</v>
      </c>
      <c r="E17" s="7" t="s">
        <v>70</v>
      </c>
      <c r="F17" s="7" t="s">
        <v>45</v>
      </c>
      <c r="G17" s="8"/>
      <c r="H17" s="9"/>
      <c r="I17" s="8"/>
      <c r="J17" s="8"/>
      <c r="K17" s="8"/>
      <c r="L17" s="13"/>
      <c r="M17" s="13"/>
      <c r="N17" s="8"/>
      <c r="O17" s="8"/>
      <c r="P17" s="9"/>
      <c r="Q17" s="9"/>
      <c r="R17" s="8"/>
      <c r="S17" s="8"/>
      <c r="T17" s="8"/>
      <c r="U17" s="8"/>
      <c r="V17" s="8"/>
      <c r="W17" s="11" t="s">
        <v>50</v>
      </c>
    </row>
    <row r="18" customFormat="false" ht="22.35" hidden="false" customHeight="false" outlineLevel="0" collapsed="false">
      <c r="B18" s="7" t="s">
        <v>71</v>
      </c>
      <c r="C18" s="7" t="s">
        <v>72</v>
      </c>
      <c r="D18" s="7" t="s">
        <v>73</v>
      </c>
      <c r="E18" s="7" t="s">
        <v>74</v>
      </c>
      <c r="F18" s="7" t="s">
        <v>58</v>
      </c>
      <c r="G18" s="8"/>
      <c r="H18" s="9"/>
      <c r="I18" s="8"/>
      <c r="J18" s="8"/>
      <c r="K18" s="8"/>
      <c r="L18" s="8"/>
      <c r="M18" s="8"/>
      <c r="N18" s="13"/>
      <c r="O18" s="8"/>
      <c r="P18" s="9"/>
      <c r="Q18" s="9"/>
      <c r="R18" s="8"/>
      <c r="S18" s="8"/>
      <c r="T18" s="8"/>
      <c r="U18" s="8"/>
      <c r="V18" s="8"/>
      <c r="W18" s="11" t="s">
        <v>50</v>
      </c>
    </row>
    <row r="19" customFormat="false" ht="22.35" hidden="false" customHeight="false" outlineLevel="0" collapsed="false">
      <c r="B19" s="7" t="s">
        <v>75</v>
      </c>
      <c r="C19" s="7" t="s">
        <v>76</v>
      </c>
      <c r="D19" s="7" t="s">
        <v>77</v>
      </c>
      <c r="E19" s="7" t="s">
        <v>78</v>
      </c>
      <c r="F19" s="7" t="s">
        <v>79</v>
      </c>
      <c r="G19" s="8"/>
      <c r="H19" s="9"/>
      <c r="I19" s="8"/>
      <c r="J19" s="8"/>
      <c r="K19" s="13"/>
      <c r="L19" s="13"/>
      <c r="M19" s="8"/>
      <c r="N19" s="8"/>
      <c r="O19" s="8"/>
      <c r="P19" s="9"/>
      <c r="Q19" s="9"/>
      <c r="R19" s="8"/>
      <c r="S19" s="8"/>
      <c r="T19" s="8"/>
      <c r="U19" s="8"/>
      <c r="V19" s="8"/>
      <c r="W19" s="11" t="s">
        <v>50</v>
      </c>
    </row>
    <row r="20" customFormat="false" ht="15" hidden="false" customHeight="false" outlineLevel="0" collapsed="false">
      <c r="B20" s="12" t="s">
        <v>80</v>
      </c>
      <c r="C20" s="12" t="s">
        <v>81</v>
      </c>
      <c r="D20" s="12" t="s">
        <v>82</v>
      </c>
      <c r="E20" s="12"/>
      <c r="F20" s="12" t="s">
        <v>45</v>
      </c>
      <c r="G20" s="8"/>
      <c r="H20" s="9"/>
      <c r="I20" s="8"/>
      <c r="J20" s="8"/>
      <c r="K20" s="8"/>
      <c r="L20" s="8"/>
      <c r="M20" s="8"/>
      <c r="N20" s="8"/>
      <c r="O20" s="8"/>
      <c r="P20" s="9"/>
      <c r="Q20" s="9"/>
      <c r="R20" s="8"/>
      <c r="S20" s="8"/>
      <c r="T20" s="8"/>
      <c r="U20" s="8"/>
      <c r="V20" s="8"/>
      <c r="W20" s="11"/>
    </row>
    <row r="21" customFormat="false" ht="22.35" hidden="false" customHeight="false" outlineLevel="0" collapsed="false">
      <c r="B21" s="7" t="s">
        <v>83</v>
      </c>
      <c r="C21" s="7" t="s">
        <v>84</v>
      </c>
      <c r="D21" s="7" t="s">
        <v>85</v>
      </c>
      <c r="E21" s="7" t="s">
        <v>86</v>
      </c>
      <c r="F21" s="7" t="s">
        <v>45</v>
      </c>
      <c r="G21" s="13"/>
      <c r="H21" s="9"/>
      <c r="I21" s="13"/>
      <c r="J21" s="8"/>
      <c r="K21" s="8"/>
      <c r="L21" s="8"/>
      <c r="M21" s="8"/>
      <c r="N21" s="8"/>
      <c r="O21" s="8"/>
      <c r="P21" s="9"/>
      <c r="Q21" s="9"/>
      <c r="R21" s="8"/>
      <c r="S21" s="8"/>
      <c r="T21" s="8"/>
      <c r="U21" s="8"/>
      <c r="V21" s="8"/>
      <c r="W21" s="11" t="s">
        <v>50</v>
      </c>
    </row>
    <row r="22" customFormat="false" ht="22.35" hidden="false" customHeight="false" outlineLevel="0" collapsed="false">
      <c r="B22" s="7" t="s">
        <v>87</v>
      </c>
      <c r="C22" s="7" t="s">
        <v>88</v>
      </c>
      <c r="D22" s="7" t="s">
        <v>89</v>
      </c>
      <c r="E22" s="7"/>
      <c r="F22" s="7" t="s">
        <v>45</v>
      </c>
      <c r="G22" s="8"/>
      <c r="H22" s="9"/>
      <c r="I22" s="13"/>
      <c r="J22" s="13"/>
      <c r="K22" s="8"/>
      <c r="L22" s="8"/>
      <c r="M22" s="8"/>
      <c r="N22" s="8"/>
      <c r="O22" s="8"/>
      <c r="P22" s="9"/>
      <c r="Q22" s="9"/>
      <c r="R22" s="8"/>
      <c r="S22" s="8"/>
      <c r="T22" s="8"/>
      <c r="U22" s="8"/>
      <c r="V22" s="8"/>
      <c r="W22" s="11" t="s">
        <v>50</v>
      </c>
    </row>
    <row r="23" customFormat="false" ht="22.35" hidden="false" customHeight="false" outlineLevel="0" collapsed="false">
      <c r="B23" s="7" t="s">
        <v>90</v>
      </c>
      <c r="C23" s="7" t="s">
        <v>91</v>
      </c>
      <c r="D23" s="7" t="s">
        <v>92</v>
      </c>
      <c r="E23" s="7"/>
      <c r="F23" s="7" t="s">
        <v>45</v>
      </c>
      <c r="G23" s="8"/>
      <c r="H23" s="9"/>
      <c r="I23" s="8"/>
      <c r="J23" s="13"/>
      <c r="K23" s="8"/>
      <c r="L23" s="8"/>
      <c r="M23" s="8"/>
      <c r="N23" s="8"/>
      <c r="O23" s="8"/>
      <c r="P23" s="9"/>
      <c r="Q23" s="9"/>
      <c r="R23" s="8"/>
      <c r="S23" s="8"/>
      <c r="T23" s="8"/>
      <c r="U23" s="8"/>
      <c r="V23" s="8"/>
      <c r="W23" s="11" t="s">
        <v>50</v>
      </c>
    </row>
    <row r="24" customFormat="false" ht="15" hidden="false" customHeight="false" outlineLevel="0" collapsed="false">
      <c r="B24" s="7" t="s">
        <v>93</v>
      </c>
      <c r="C24" s="7" t="s">
        <v>94</v>
      </c>
      <c r="D24" s="7" t="s">
        <v>95</v>
      </c>
      <c r="E24" s="7"/>
      <c r="F24" s="7" t="s">
        <v>45</v>
      </c>
      <c r="G24" s="8"/>
      <c r="H24" s="9"/>
      <c r="I24" s="8"/>
      <c r="J24" s="8"/>
      <c r="K24" s="13"/>
      <c r="L24" s="8"/>
      <c r="M24" s="8"/>
      <c r="N24" s="8"/>
      <c r="O24" s="8"/>
      <c r="P24" s="9"/>
      <c r="Q24" s="9"/>
      <c r="R24" s="8"/>
      <c r="S24" s="8"/>
      <c r="T24" s="8"/>
      <c r="U24" s="8"/>
      <c r="V24" s="8"/>
      <c r="W24" s="11" t="s">
        <v>50</v>
      </c>
    </row>
    <row r="25" customFormat="false" ht="22.35" hidden="false" customHeight="false" outlineLevel="0" collapsed="false">
      <c r="B25" s="7" t="s">
        <v>96</v>
      </c>
      <c r="C25" s="7" t="s">
        <v>97</v>
      </c>
      <c r="D25" s="7" t="s">
        <v>98</v>
      </c>
      <c r="E25" s="7" t="s">
        <v>99</v>
      </c>
      <c r="F25" s="7" t="s">
        <v>45</v>
      </c>
      <c r="G25" s="8"/>
      <c r="H25" s="9"/>
      <c r="I25" s="8"/>
      <c r="J25" s="8"/>
      <c r="K25" s="8"/>
      <c r="L25" s="8"/>
      <c r="M25" s="13"/>
      <c r="N25" s="8"/>
      <c r="O25" s="8"/>
      <c r="P25" s="9"/>
      <c r="Q25" s="9"/>
      <c r="R25" s="8"/>
      <c r="S25" s="8"/>
      <c r="T25" s="8"/>
      <c r="U25" s="8"/>
      <c r="V25" s="8"/>
      <c r="W25" s="11" t="s">
        <v>50</v>
      </c>
    </row>
    <row r="26" customFormat="false" ht="22.35" hidden="false" customHeight="false" outlineLevel="0" collapsed="false">
      <c r="B26" s="7" t="s">
        <v>100</v>
      </c>
      <c r="C26" s="7" t="s">
        <v>101</v>
      </c>
      <c r="D26" s="7" t="s">
        <v>102</v>
      </c>
      <c r="E26" s="7"/>
      <c r="F26" s="7" t="s">
        <v>45</v>
      </c>
      <c r="G26" s="8"/>
      <c r="H26" s="9"/>
      <c r="I26" s="8"/>
      <c r="J26" s="8"/>
      <c r="K26" s="8"/>
      <c r="L26" s="8"/>
      <c r="M26" s="13"/>
      <c r="N26" s="13"/>
      <c r="O26" s="8"/>
      <c r="P26" s="9"/>
      <c r="Q26" s="9"/>
      <c r="R26" s="8"/>
      <c r="S26" s="8"/>
      <c r="T26" s="8"/>
      <c r="U26" s="8"/>
      <c r="V26" s="8"/>
      <c r="W26" s="11" t="s">
        <v>50</v>
      </c>
    </row>
    <row r="27" customFormat="false" ht="15" hidden="false" customHeight="false" outlineLevel="0" collapsed="false">
      <c r="B27" s="7" t="s">
        <v>103</v>
      </c>
      <c r="C27" s="7" t="s">
        <v>104</v>
      </c>
      <c r="D27" s="7" t="s">
        <v>105</v>
      </c>
      <c r="E27" s="7" t="s">
        <v>106</v>
      </c>
      <c r="F27" s="7" t="s">
        <v>45</v>
      </c>
      <c r="G27" s="8"/>
      <c r="H27" s="9"/>
      <c r="I27" s="8"/>
      <c r="J27" s="8"/>
      <c r="K27" s="8"/>
      <c r="L27" s="8"/>
      <c r="M27" s="8"/>
      <c r="N27" s="8"/>
      <c r="O27" s="8"/>
      <c r="P27" s="9"/>
      <c r="Q27" s="9"/>
      <c r="R27" s="13"/>
      <c r="S27" s="8"/>
      <c r="T27" s="8"/>
      <c r="U27" s="8"/>
      <c r="V27" s="8"/>
      <c r="W27" s="11" t="s">
        <v>50</v>
      </c>
    </row>
    <row r="28" customFormat="false" ht="15" hidden="false" customHeight="false" outlineLevel="0" collapsed="false">
      <c r="B28" s="4" t="s">
        <v>107</v>
      </c>
      <c r="C28" s="4" t="s">
        <v>108</v>
      </c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6"/>
    </row>
    <row r="29" customFormat="false" ht="15" hidden="false" customHeight="false" outlineLevel="0" collapsed="false">
      <c r="B29" s="14" t="s">
        <v>109</v>
      </c>
      <c r="C29" s="14" t="s">
        <v>110</v>
      </c>
      <c r="D29" s="14" t="s">
        <v>111</v>
      </c>
      <c r="E29" s="14"/>
      <c r="F29" s="14" t="s">
        <v>106</v>
      </c>
      <c r="G29" s="15"/>
      <c r="H29" s="9"/>
      <c r="I29" s="15"/>
      <c r="J29" s="8"/>
      <c r="K29" s="8"/>
      <c r="L29" s="8"/>
      <c r="M29" s="8"/>
      <c r="N29" s="8"/>
      <c r="O29" s="8"/>
      <c r="P29" s="9"/>
      <c r="Q29" s="9"/>
      <c r="R29" s="8"/>
      <c r="S29" s="8"/>
      <c r="T29" s="8"/>
      <c r="U29" s="8"/>
      <c r="V29" s="8"/>
      <c r="W29" s="11"/>
    </row>
    <row r="30" customFormat="false" ht="15" hidden="false" customHeight="false" outlineLevel="0" collapsed="false">
      <c r="B30" s="14" t="s">
        <v>112</v>
      </c>
      <c r="C30" s="14" t="s">
        <v>113</v>
      </c>
      <c r="D30" s="14" t="s">
        <v>114</v>
      </c>
      <c r="E30" s="14"/>
      <c r="F30" s="14" t="s">
        <v>106</v>
      </c>
      <c r="G30" s="8"/>
      <c r="H30" s="9"/>
      <c r="I30" s="8"/>
      <c r="J30" s="15"/>
      <c r="K30" s="15"/>
      <c r="L30" s="15"/>
      <c r="M30" s="8"/>
      <c r="N30" s="8"/>
      <c r="O30" s="8"/>
      <c r="P30" s="9"/>
      <c r="Q30" s="9"/>
      <c r="R30" s="8"/>
      <c r="S30" s="8"/>
      <c r="T30" s="8"/>
      <c r="U30" s="8"/>
      <c r="V30" s="8"/>
      <c r="W30" s="11"/>
    </row>
    <row r="31" customFormat="false" ht="15" hidden="false" customHeight="false" outlineLevel="0" collapsed="false">
      <c r="B31" s="14" t="s">
        <v>115</v>
      </c>
      <c r="C31" s="14" t="s">
        <v>116</v>
      </c>
      <c r="D31" s="14" t="s">
        <v>117</v>
      </c>
      <c r="E31" s="14"/>
      <c r="F31" s="14" t="s">
        <v>33</v>
      </c>
      <c r="G31" s="15"/>
      <c r="H31" s="9"/>
      <c r="I31" s="15"/>
      <c r="J31" s="15"/>
      <c r="K31" s="8"/>
      <c r="L31" s="8"/>
      <c r="M31" s="8"/>
      <c r="N31" s="8"/>
      <c r="O31" s="8"/>
      <c r="P31" s="9"/>
      <c r="Q31" s="9"/>
      <c r="R31" s="8"/>
      <c r="S31" s="8"/>
      <c r="T31" s="8"/>
      <c r="U31" s="8"/>
      <c r="V31" s="8"/>
      <c r="W31" s="11"/>
    </row>
    <row r="32" customFormat="false" ht="15" hidden="false" customHeight="false" outlineLevel="0" collapsed="false">
      <c r="B32" s="4" t="s">
        <v>118</v>
      </c>
      <c r="C32" s="4" t="s">
        <v>119</v>
      </c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6"/>
    </row>
    <row r="33" customFormat="false" ht="15" hidden="false" customHeight="false" outlineLevel="0" collapsed="false">
      <c r="B33" s="14" t="s">
        <v>120</v>
      </c>
      <c r="C33" s="14" t="s">
        <v>121</v>
      </c>
      <c r="D33" s="14" t="s">
        <v>122</v>
      </c>
      <c r="E33" s="14"/>
      <c r="F33" s="14" t="s">
        <v>33</v>
      </c>
      <c r="G33" s="8"/>
      <c r="H33" s="9"/>
      <c r="I33" s="8"/>
      <c r="J33" s="8"/>
      <c r="K33" s="8"/>
      <c r="L33" s="15"/>
      <c r="M33" s="15"/>
      <c r="N33" s="15"/>
      <c r="O33" s="15"/>
      <c r="P33" s="9"/>
      <c r="Q33" s="9"/>
      <c r="R33" s="15"/>
      <c r="S33" s="8"/>
      <c r="T33" s="8"/>
      <c r="U33" s="8"/>
      <c r="V33" s="8"/>
      <c r="W33" s="11"/>
    </row>
    <row r="34" customFormat="false" ht="15" hidden="false" customHeight="false" outlineLevel="0" collapsed="false">
      <c r="B34" s="14" t="s">
        <v>123</v>
      </c>
      <c r="C34" s="14" t="s">
        <v>124</v>
      </c>
      <c r="D34" s="14" t="s">
        <v>125</v>
      </c>
      <c r="E34" s="14"/>
      <c r="F34" s="14" t="s">
        <v>33</v>
      </c>
      <c r="G34" s="8"/>
      <c r="H34" s="9"/>
      <c r="I34" s="8"/>
      <c r="J34" s="8"/>
      <c r="K34" s="8"/>
      <c r="L34" s="8"/>
      <c r="M34" s="8"/>
      <c r="N34" s="8"/>
      <c r="O34" s="15"/>
      <c r="P34" s="9"/>
      <c r="Q34" s="9"/>
      <c r="R34" s="15"/>
      <c r="S34" s="15"/>
      <c r="T34" s="15"/>
      <c r="U34" s="15"/>
      <c r="V34" s="8"/>
      <c r="W34" s="11"/>
    </row>
    <row r="35" customFormat="false" ht="15" hidden="false" customHeight="false" outlineLevel="0" collapsed="false">
      <c r="B35" s="14" t="s">
        <v>126</v>
      </c>
      <c r="C35" s="14" t="s">
        <v>127</v>
      </c>
      <c r="D35" s="14" t="s">
        <v>128</v>
      </c>
      <c r="E35" s="14"/>
      <c r="F35" s="14" t="s">
        <v>33</v>
      </c>
      <c r="G35" s="8"/>
      <c r="H35" s="9"/>
      <c r="I35" s="8"/>
      <c r="J35" s="8"/>
      <c r="K35" s="8"/>
      <c r="L35" s="8"/>
      <c r="M35" s="8"/>
      <c r="N35" s="8"/>
      <c r="O35" s="8"/>
      <c r="P35" s="9"/>
      <c r="Q35" s="9"/>
      <c r="R35" s="15"/>
      <c r="S35" s="15"/>
      <c r="T35" s="15"/>
      <c r="U35" s="15"/>
      <c r="V35" s="15"/>
      <c r="W35" s="11"/>
    </row>
    <row r="36" customFormat="false" ht="15" hidden="false" customHeight="false" outlineLevel="0" collapsed="false">
      <c r="B36" s="4" t="s">
        <v>129</v>
      </c>
      <c r="C36" s="4" t="s">
        <v>130</v>
      </c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6"/>
    </row>
    <row r="37" customFormat="false" ht="22.35" hidden="false" customHeight="false" outlineLevel="0" collapsed="false">
      <c r="B37" s="12" t="s">
        <v>131</v>
      </c>
      <c r="C37" s="12" t="s">
        <v>132</v>
      </c>
      <c r="D37" s="12" t="s">
        <v>133</v>
      </c>
      <c r="E37" s="12"/>
      <c r="F37" s="12" t="s">
        <v>45</v>
      </c>
      <c r="G37" s="8"/>
      <c r="H37" s="9"/>
      <c r="I37" s="8"/>
      <c r="J37" s="8"/>
      <c r="K37" s="8"/>
      <c r="L37" s="8"/>
      <c r="M37" s="8"/>
      <c r="N37" s="8"/>
      <c r="O37" s="8"/>
      <c r="P37" s="9"/>
      <c r="Q37" s="9"/>
      <c r="R37" s="8"/>
      <c r="S37" s="8"/>
      <c r="T37" s="8"/>
      <c r="U37" s="8"/>
      <c r="V37" s="8"/>
      <c r="W37" s="11"/>
    </row>
    <row r="38" customFormat="false" ht="22.35" hidden="false" customHeight="false" outlineLevel="0" collapsed="false">
      <c r="B38" s="7" t="s">
        <v>134</v>
      </c>
      <c r="C38" s="7" t="s">
        <v>135</v>
      </c>
      <c r="D38" s="7" t="s">
        <v>136</v>
      </c>
      <c r="E38" s="7" t="s">
        <v>137</v>
      </c>
      <c r="F38" s="7" t="s">
        <v>45</v>
      </c>
      <c r="G38" s="8"/>
      <c r="H38" s="9"/>
      <c r="I38" s="8"/>
      <c r="J38" s="8"/>
      <c r="K38" s="8"/>
      <c r="L38" s="8"/>
      <c r="M38" s="13"/>
      <c r="N38" s="13"/>
      <c r="O38" s="13"/>
      <c r="P38" s="9"/>
      <c r="Q38" s="9"/>
      <c r="R38" s="8"/>
      <c r="S38" s="8"/>
      <c r="T38" s="8"/>
      <c r="U38" s="8"/>
      <c r="V38" s="8"/>
      <c r="W38" s="11" t="s">
        <v>50</v>
      </c>
    </row>
    <row r="39" customFormat="false" ht="22.35" hidden="false" customHeight="false" outlineLevel="0" collapsed="false">
      <c r="B39" s="7" t="s">
        <v>138</v>
      </c>
      <c r="C39" s="7" t="s">
        <v>139</v>
      </c>
      <c r="D39" s="7" t="s">
        <v>140</v>
      </c>
      <c r="E39" s="7"/>
      <c r="F39" s="7" t="s">
        <v>45</v>
      </c>
      <c r="G39" s="8"/>
      <c r="H39" s="9"/>
      <c r="I39" s="8"/>
      <c r="J39" s="8"/>
      <c r="K39" s="13"/>
      <c r="L39" s="13"/>
      <c r="M39" s="8"/>
      <c r="N39" s="8"/>
      <c r="O39" s="8"/>
      <c r="P39" s="9"/>
      <c r="Q39" s="9"/>
      <c r="R39" s="8"/>
      <c r="S39" s="8"/>
      <c r="T39" s="8"/>
      <c r="U39" s="8"/>
      <c r="V39" s="8"/>
      <c r="W39" s="11" t="s">
        <v>50</v>
      </c>
    </row>
    <row r="40" customFormat="false" ht="22.35" hidden="false" customHeight="false" outlineLevel="0" collapsed="false">
      <c r="B40" s="7" t="s">
        <v>141</v>
      </c>
      <c r="C40" s="7" t="s">
        <v>142</v>
      </c>
      <c r="D40" s="7" t="s">
        <v>143</v>
      </c>
      <c r="E40" s="7"/>
      <c r="F40" s="7" t="s">
        <v>45</v>
      </c>
      <c r="G40" s="8"/>
      <c r="H40" s="9"/>
      <c r="I40" s="8"/>
      <c r="J40" s="8"/>
      <c r="K40" s="8"/>
      <c r="L40" s="13"/>
      <c r="M40" s="8"/>
      <c r="N40" s="8"/>
      <c r="O40" s="8"/>
      <c r="P40" s="9"/>
      <c r="Q40" s="9"/>
      <c r="R40" s="8"/>
      <c r="S40" s="8"/>
      <c r="T40" s="8"/>
      <c r="U40" s="8"/>
      <c r="V40" s="8"/>
      <c r="W40" s="11" t="s">
        <v>50</v>
      </c>
    </row>
    <row r="41" customFormat="false" ht="22.35" hidden="false" customHeight="false" outlineLevel="0" collapsed="false">
      <c r="B41" s="7" t="s">
        <v>144</v>
      </c>
      <c r="C41" s="7" t="s">
        <v>145</v>
      </c>
      <c r="D41" s="7" t="s">
        <v>146</v>
      </c>
      <c r="E41" s="7" t="s">
        <v>147</v>
      </c>
      <c r="F41" s="7" t="s">
        <v>58</v>
      </c>
      <c r="G41" s="8"/>
      <c r="H41" s="9"/>
      <c r="I41" s="8"/>
      <c r="J41" s="8"/>
      <c r="K41" s="8"/>
      <c r="L41" s="8"/>
      <c r="M41" s="8"/>
      <c r="N41" s="8"/>
      <c r="O41" s="13"/>
      <c r="P41" s="9"/>
      <c r="Q41" s="9"/>
      <c r="R41" s="8"/>
      <c r="S41" s="8"/>
      <c r="T41" s="8"/>
      <c r="U41" s="8"/>
      <c r="V41" s="8"/>
      <c r="W41" s="11" t="s">
        <v>50</v>
      </c>
    </row>
    <row r="42" customFormat="false" ht="22.35" hidden="false" customHeight="false" outlineLevel="0" collapsed="false">
      <c r="B42" s="7" t="s">
        <v>148</v>
      </c>
      <c r="C42" s="7" t="s">
        <v>149</v>
      </c>
      <c r="D42" s="7" t="s">
        <v>150</v>
      </c>
      <c r="E42" s="7" t="s">
        <v>151</v>
      </c>
      <c r="F42" s="7" t="s">
        <v>45</v>
      </c>
      <c r="G42" s="8"/>
      <c r="H42" s="9"/>
      <c r="I42" s="8"/>
      <c r="J42" s="8"/>
      <c r="K42" s="8"/>
      <c r="L42" s="8"/>
      <c r="M42" s="8"/>
      <c r="N42" s="8"/>
      <c r="O42" s="8"/>
      <c r="P42" s="9"/>
      <c r="Q42" s="9"/>
      <c r="R42" s="13"/>
      <c r="S42" s="8"/>
      <c r="T42" s="8"/>
      <c r="U42" s="8"/>
      <c r="V42" s="8"/>
      <c r="W42" s="11" t="s">
        <v>50</v>
      </c>
    </row>
    <row r="43" customFormat="false" ht="15" hidden="false" customHeight="false" outlineLevel="0" collapsed="false">
      <c r="B43" s="7" t="s">
        <v>152</v>
      </c>
      <c r="C43" s="7" t="s">
        <v>153</v>
      </c>
      <c r="D43" s="7" t="s">
        <v>154</v>
      </c>
      <c r="E43" s="7" t="s">
        <v>155</v>
      </c>
      <c r="F43" s="7" t="s">
        <v>58</v>
      </c>
      <c r="G43" s="8"/>
      <c r="H43" s="9"/>
      <c r="I43" s="8"/>
      <c r="J43" s="8"/>
      <c r="K43" s="8"/>
      <c r="L43" s="8"/>
      <c r="M43" s="8"/>
      <c r="N43" s="8"/>
      <c r="O43" s="8"/>
      <c r="P43" s="9"/>
      <c r="Q43" s="9"/>
      <c r="R43" s="8"/>
      <c r="S43" s="13"/>
      <c r="T43" s="8"/>
      <c r="U43" s="8"/>
      <c r="V43" s="8"/>
      <c r="W43" s="11" t="s">
        <v>50</v>
      </c>
    </row>
    <row r="44" customFormat="false" ht="22.35" hidden="false" customHeight="false" outlineLevel="0" collapsed="false">
      <c r="B44" s="7" t="s">
        <v>156</v>
      </c>
      <c r="C44" s="7" t="s">
        <v>157</v>
      </c>
      <c r="D44" s="7" t="s">
        <v>158</v>
      </c>
      <c r="E44" s="7" t="s">
        <v>159</v>
      </c>
      <c r="F44" s="7" t="s">
        <v>45</v>
      </c>
      <c r="G44" s="8"/>
      <c r="H44" s="9"/>
      <c r="I44" s="8"/>
      <c r="J44" s="8"/>
      <c r="K44" s="8"/>
      <c r="L44" s="8"/>
      <c r="M44" s="8"/>
      <c r="N44" s="8"/>
      <c r="O44" s="8"/>
      <c r="P44" s="9"/>
      <c r="Q44" s="9"/>
      <c r="R44" s="8"/>
      <c r="S44" s="8"/>
      <c r="T44" s="13"/>
      <c r="U44" s="13"/>
      <c r="V44" s="8"/>
      <c r="W44" s="11" t="s">
        <v>50</v>
      </c>
    </row>
    <row r="45" customFormat="false" ht="15" hidden="false" customHeight="false" outlineLevel="0" collapsed="false">
      <c r="B45" s="7" t="s">
        <v>160</v>
      </c>
      <c r="C45" s="7" t="s">
        <v>161</v>
      </c>
      <c r="D45" s="7" t="s">
        <v>162</v>
      </c>
      <c r="E45" s="7" t="s">
        <v>163</v>
      </c>
      <c r="F45" s="7" t="s">
        <v>58</v>
      </c>
      <c r="G45" s="8"/>
      <c r="H45" s="9"/>
      <c r="I45" s="8"/>
      <c r="J45" s="8"/>
      <c r="K45" s="8"/>
      <c r="L45" s="8"/>
      <c r="M45" s="8"/>
      <c r="N45" s="8"/>
      <c r="O45" s="8"/>
      <c r="P45" s="9"/>
      <c r="Q45" s="9"/>
      <c r="R45" s="8"/>
      <c r="S45" s="8"/>
      <c r="T45" s="8"/>
      <c r="U45" s="13"/>
      <c r="V45" s="13"/>
      <c r="W45" s="11" t="s">
        <v>50</v>
      </c>
    </row>
    <row r="46" customFormat="false" ht="15" hidden="false" customHeight="false" outlineLevel="0" collapsed="false">
      <c r="B46" s="7" t="s">
        <v>164</v>
      </c>
      <c r="C46" s="7" t="s">
        <v>165</v>
      </c>
      <c r="D46" s="7" t="s">
        <v>166</v>
      </c>
      <c r="E46" s="7"/>
      <c r="F46" s="7" t="s">
        <v>45</v>
      </c>
      <c r="G46" s="8"/>
      <c r="H46" s="9"/>
      <c r="I46" s="8"/>
      <c r="J46" s="8"/>
      <c r="K46" s="8"/>
      <c r="L46" s="8"/>
      <c r="M46" s="8"/>
      <c r="N46" s="8"/>
      <c r="O46" s="8"/>
      <c r="P46" s="9"/>
      <c r="Q46" s="9"/>
      <c r="R46" s="8"/>
      <c r="S46" s="8"/>
      <c r="T46" s="8"/>
      <c r="U46" s="8"/>
      <c r="V46" s="13"/>
      <c r="W46" s="11" t="s">
        <v>50</v>
      </c>
    </row>
    <row r="47" customFormat="false" ht="22.35" hidden="false" customHeight="false" outlineLevel="0" collapsed="false">
      <c r="B47" s="14" t="s">
        <v>167</v>
      </c>
      <c r="C47" s="14" t="s">
        <v>168</v>
      </c>
      <c r="D47" s="14" t="s">
        <v>169</v>
      </c>
      <c r="E47" s="14"/>
      <c r="F47" s="14" t="s">
        <v>106</v>
      </c>
      <c r="G47" s="8"/>
      <c r="H47" s="9"/>
      <c r="I47" s="8"/>
      <c r="J47" s="8"/>
      <c r="K47" s="8"/>
      <c r="L47" s="8"/>
      <c r="M47" s="8"/>
      <c r="N47" s="8"/>
      <c r="O47" s="8"/>
      <c r="P47" s="9"/>
      <c r="Q47" s="9"/>
      <c r="R47" s="8"/>
      <c r="S47" s="15"/>
      <c r="T47" s="15"/>
      <c r="U47" s="15"/>
      <c r="V47" s="15"/>
      <c r="W47" s="11"/>
    </row>
    <row r="49" customFormat="false" ht="15" hidden="false" customHeight="false" outlineLevel="0" collapsed="false">
      <c r="B49" s="16" t="s">
        <v>170</v>
      </c>
      <c r="C49" s="17" t="s">
        <v>171</v>
      </c>
      <c r="D49" s="17" t="str">
        <f aca="false">COUNTIF(W6:W47,"Done")&amp;" / "&amp;COUNTIF(W6:W47,"&lt;&gt;")</f>
        <v>0 / 24</v>
      </c>
    </row>
    <row r="50" customFormat="false" ht="15" hidden="false" customHeight="false" outlineLevel="0" collapsed="false">
      <c r="C50" s="17" t="s">
        <v>172</v>
      </c>
      <c r="D50" s="18" t="n">
        <f aca="false">IF(COUNTIF(W6:W47,"&lt;&gt;")=0,0,COUNTIF(W6:W47,"Done")/COUNTIF(W6:W47,"&lt;&gt;"))</f>
        <v>0</v>
      </c>
    </row>
    <row r="51" customFormat="false" ht="15" hidden="false" customHeight="false" outlineLevel="0" collapsed="false">
      <c r="C51" s="17" t="s">
        <v>173</v>
      </c>
      <c r="D51" s="17" t="n">
        <f aca="false">COUNTIF(W6:W47,"Blocked")</f>
        <v>0</v>
      </c>
    </row>
    <row r="53" customFormat="false" ht="15" hidden="false" customHeight="false" outlineLevel="0" collapsed="false">
      <c r="B53" s="16" t="s">
        <v>174</v>
      </c>
    </row>
    <row r="54" customFormat="false" ht="15" hidden="false" customHeight="false" outlineLevel="0" collapsed="false">
      <c r="B54" s="19"/>
      <c r="C54" s="17" t="s">
        <v>175</v>
      </c>
    </row>
    <row r="55" customFormat="false" ht="15" hidden="false" customHeight="false" outlineLevel="0" collapsed="false">
      <c r="B55" s="20"/>
      <c r="C55" s="17" t="s">
        <v>176</v>
      </c>
    </row>
    <row r="56" customFormat="false" ht="15" hidden="false" customHeight="false" outlineLevel="0" collapsed="false">
      <c r="B56" s="21"/>
      <c r="C56" s="17" t="s">
        <v>177</v>
      </c>
    </row>
    <row r="57" customFormat="false" ht="15" hidden="false" customHeight="false" outlineLevel="0" collapsed="false">
      <c r="B57" s="22"/>
      <c r="C57" s="17" t="s">
        <v>178</v>
      </c>
    </row>
    <row r="58" customFormat="false" ht="15" hidden="false" customHeight="false" outlineLevel="0" collapsed="false">
      <c r="B58" s="23"/>
      <c r="C58" s="17" t="s">
        <v>179</v>
      </c>
    </row>
    <row r="60" customFormat="false" ht="15" hidden="false" customHeight="false" outlineLevel="0" collapsed="false">
      <c r="B60" s="16" t="s">
        <v>180</v>
      </c>
    </row>
    <row r="61" customFormat="false" ht="15" hidden="false" customHeight="false" outlineLevel="0" collapsed="false">
      <c r="B61" s="24" t="s">
        <v>181</v>
      </c>
    </row>
    <row r="62" customFormat="false" ht="15" hidden="false" customHeight="false" outlineLevel="0" collapsed="false">
      <c r="B62" s="24" t="s">
        <v>182</v>
      </c>
    </row>
    <row r="63" customFormat="false" ht="15" hidden="false" customHeight="false" outlineLevel="0" collapsed="false">
      <c r="B63" s="24" t="s">
        <v>183</v>
      </c>
    </row>
    <row r="64" customFormat="false" ht="15" hidden="false" customHeight="false" outlineLevel="0" collapsed="false">
      <c r="B64" s="24" t="s">
        <v>184</v>
      </c>
    </row>
  </sheetData>
  <mergeCells count="10">
    <mergeCell ref="B4:B5"/>
    <mergeCell ref="C4:C5"/>
    <mergeCell ref="D4:D5"/>
    <mergeCell ref="E4:E5"/>
    <mergeCell ref="F4:F5"/>
    <mergeCell ref="G4:J4"/>
    <mergeCell ref="K4:N4"/>
    <mergeCell ref="O4:R4"/>
    <mergeCell ref="S4:V4"/>
    <mergeCell ref="W4:W5"/>
  </mergeCells>
  <conditionalFormatting sqref="W6:W4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W6:W4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58"/>
    <col collapsed="false" customWidth="true" hidden="false" outlineLevel="0" max="6" min="6" style="0" width="32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16.15" hidden="false" customHeight="false" outlineLevel="0" collapsed="false">
      <c r="B1" s="1" t="s">
        <v>185</v>
      </c>
    </row>
    <row r="3" customFormat="false" ht="15" hidden="false" customHeight="false" outlineLevel="0" collapsed="false">
      <c r="B3" s="3" t="s">
        <v>186</v>
      </c>
      <c r="C3" s="3" t="s">
        <v>187</v>
      </c>
      <c r="D3" s="3" t="s">
        <v>2</v>
      </c>
      <c r="E3" s="3" t="s">
        <v>188</v>
      </c>
      <c r="F3" s="3" t="s">
        <v>189</v>
      </c>
      <c r="G3" s="3" t="s">
        <v>190</v>
      </c>
      <c r="H3" s="3" t="s">
        <v>11</v>
      </c>
      <c r="I3" s="3" t="s">
        <v>191</v>
      </c>
    </row>
    <row r="4" customFormat="false" ht="15" hidden="false" customHeight="false" outlineLevel="0" collapsed="false">
      <c r="B4" s="12" t="s">
        <v>192</v>
      </c>
      <c r="C4" s="12" t="s">
        <v>193</v>
      </c>
      <c r="D4" s="7" t="s">
        <v>46</v>
      </c>
      <c r="E4" s="7" t="s">
        <v>194</v>
      </c>
      <c r="F4" s="7" t="s">
        <v>195</v>
      </c>
      <c r="G4" s="7" t="s">
        <v>196</v>
      </c>
      <c r="H4" s="7" t="s">
        <v>50</v>
      </c>
      <c r="I4" s="7"/>
    </row>
    <row r="5" customFormat="false" ht="15" hidden="false" customHeight="false" outlineLevel="0" collapsed="false">
      <c r="B5" s="7" t="s">
        <v>192</v>
      </c>
      <c r="C5" s="7" t="s">
        <v>193</v>
      </c>
      <c r="D5" s="7" t="s">
        <v>51</v>
      </c>
      <c r="E5" s="7" t="s">
        <v>197</v>
      </c>
      <c r="F5" s="7" t="s">
        <v>198</v>
      </c>
      <c r="G5" s="7"/>
      <c r="H5" s="7" t="s">
        <v>50</v>
      </c>
      <c r="I5" s="7"/>
    </row>
    <row r="6" customFormat="false" ht="15" hidden="false" customHeight="false" outlineLevel="0" collapsed="false">
      <c r="B6" s="7" t="s">
        <v>192</v>
      </c>
      <c r="C6" s="7" t="s">
        <v>193</v>
      </c>
      <c r="D6" s="7" t="s">
        <v>83</v>
      </c>
      <c r="E6" s="7" t="s">
        <v>199</v>
      </c>
      <c r="F6" s="7" t="s">
        <v>200</v>
      </c>
      <c r="G6" s="7" t="s">
        <v>201</v>
      </c>
      <c r="H6" s="7" t="s">
        <v>50</v>
      </c>
      <c r="I6" s="7"/>
    </row>
    <row r="7" customFormat="false" ht="15" hidden="false" customHeight="false" outlineLevel="0" collapsed="false">
      <c r="B7" s="25" t="s">
        <v>202</v>
      </c>
      <c r="C7" s="25" t="s">
        <v>203</v>
      </c>
      <c r="D7" s="25" t="s">
        <v>204</v>
      </c>
      <c r="E7" s="25" t="s">
        <v>205</v>
      </c>
      <c r="F7" s="25"/>
      <c r="G7" s="25"/>
      <c r="H7" s="25"/>
      <c r="I7" s="25"/>
    </row>
    <row r="8" customFormat="false" ht="15" hidden="false" customHeight="false" outlineLevel="0" collapsed="false">
      <c r="B8" s="12" t="s">
        <v>206</v>
      </c>
      <c r="C8" s="12" t="s">
        <v>207</v>
      </c>
      <c r="D8" s="7" t="s">
        <v>51</v>
      </c>
      <c r="E8" s="7" t="s">
        <v>208</v>
      </c>
      <c r="F8" s="7" t="s">
        <v>209</v>
      </c>
      <c r="G8" s="7"/>
      <c r="H8" s="7" t="s">
        <v>50</v>
      </c>
      <c r="I8" s="7"/>
    </row>
    <row r="9" customFormat="false" ht="15" hidden="false" customHeight="false" outlineLevel="0" collapsed="false">
      <c r="B9" s="7" t="s">
        <v>206</v>
      </c>
      <c r="C9" s="7" t="s">
        <v>207</v>
      </c>
      <c r="D9" s="7" t="s">
        <v>54</v>
      </c>
      <c r="E9" s="7" t="s">
        <v>210</v>
      </c>
      <c r="F9" s="7" t="s">
        <v>211</v>
      </c>
      <c r="G9" s="7" t="s">
        <v>33</v>
      </c>
      <c r="H9" s="7" t="s">
        <v>50</v>
      </c>
      <c r="I9" s="7"/>
    </row>
    <row r="10" customFormat="false" ht="15" hidden="false" customHeight="false" outlineLevel="0" collapsed="false">
      <c r="B10" s="7" t="s">
        <v>206</v>
      </c>
      <c r="C10" s="7" t="s">
        <v>207</v>
      </c>
      <c r="D10" s="7" t="s">
        <v>59</v>
      </c>
      <c r="E10" s="7" t="s">
        <v>212</v>
      </c>
      <c r="F10" s="7" t="s">
        <v>213</v>
      </c>
      <c r="G10" s="7" t="s">
        <v>214</v>
      </c>
      <c r="H10" s="7" t="s">
        <v>50</v>
      </c>
      <c r="I10" s="7"/>
    </row>
    <row r="11" customFormat="false" ht="15" hidden="false" customHeight="false" outlineLevel="0" collapsed="false">
      <c r="B11" s="7" t="s">
        <v>206</v>
      </c>
      <c r="C11" s="7" t="s">
        <v>207</v>
      </c>
      <c r="D11" s="7" t="s">
        <v>83</v>
      </c>
      <c r="E11" s="7" t="s">
        <v>215</v>
      </c>
      <c r="F11" s="7" t="s">
        <v>216</v>
      </c>
      <c r="G11" s="7"/>
      <c r="H11" s="7" t="s">
        <v>50</v>
      </c>
      <c r="I11" s="7"/>
    </row>
    <row r="12" customFormat="false" ht="15" hidden="false" customHeight="false" outlineLevel="0" collapsed="false">
      <c r="B12" s="7" t="s">
        <v>206</v>
      </c>
      <c r="C12" s="7" t="s">
        <v>207</v>
      </c>
      <c r="D12" s="7" t="s">
        <v>87</v>
      </c>
      <c r="E12" s="7" t="s">
        <v>217</v>
      </c>
      <c r="F12" s="7" t="s">
        <v>218</v>
      </c>
      <c r="G12" s="7"/>
      <c r="H12" s="7" t="s">
        <v>50</v>
      </c>
      <c r="I12" s="7"/>
    </row>
    <row r="13" customFormat="false" ht="15" hidden="false" customHeight="false" outlineLevel="0" collapsed="false">
      <c r="B13" s="7" t="s">
        <v>206</v>
      </c>
      <c r="C13" s="7" t="s">
        <v>207</v>
      </c>
      <c r="D13" s="7" t="s">
        <v>34</v>
      </c>
      <c r="E13" s="7" t="s">
        <v>219</v>
      </c>
      <c r="F13" s="7" t="s">
        <v>220</v>
      </c>
      <c r="G13" s="7"/>
      <c r="H13" s="7" t="s">
        <v>50</v>
      </c>
      <c r="I13" s="7"/>
    </row>
    <row r="14" customFormat="false" ht="15" hidden="false" customHeight="false" outlineLevel="0" collapsed="false">
      <c r="B14" s="12" t="s">
        <v>221</v>
      </c>
      <c r="C14" s="12" t="s">
        <v>222</v>
      </c>
      <c r="D14" s="7" t="s">
        <v>87</v>
      </c>
      <c r="E14" s="7" t="s">
        <v>223</v>
      </c>
      <c r="F14" s="7" t="s">
        <v>224</v>
      </c>
      <c r="G14" s="7"/>
      <c r="H14" s="7" t="s">
        <v>50</v>
      </c>
      <c r="I14" s="7"/>
    </row>
    <row r="15" customFormat="false" ht="15" hidden="false" customHeight="false" outlineLevel="0" collapsed="false">
      <c r="B15" s="7" t="s">
        <v>221</v>
      </c>
      <c r="C15" s="7" t="s">
        <v>222</v>
      </c>
      <c r="D15" s="7" t="s">
        <v>90</v>
      </c>
      <c r="E15" s="7" t="s">
        <v>225</v>
      </c>
      <c r="F15" s="7" t="s">
        <v>226</v>
      </c>
      <c r="G15" s="7"/>
      <c r="H15" s="7" t="s">
        <v>50</v>
      </c>
      <c r="I15" s="7"/>
    </row>
    <row r="16" customFormat="false" ht="15" hidden="false" customHeight="false" outlineLevel="0" collapsed="false">
      <c r="B16" s="7" t="s">
        <v>221</v>
      </c>
      <c r="C16" s="7" t="s">
        <v>222</v>
      </c>
      <c r="D16" s="7" t="s">
        <v>63</v>
      </c>
      <c r="E16" s="7" t="s">
        <v>227</v>
      </c>
      <c r="F16" s="7" t="s">
        <v>228</v>
      </c>
      <c r="G16" s="7" t="s">
        <v>229</v>
      </c>
      <c r="H16" s="7" t="s">
        <v>50</v>
      </c>
      <c r="I16" s="7"/>
    </row>
    <row r="17" customFormat="false" ht="15" hidden="false" customHeight="false" outlineLevel="0" collapsed="false">
      <c r="B17" s="12" t="s">
        <v>230</v>
      </c>
      <c r="C17" s="12" t="s">
        <v>231</v>
      </c>
      <c r="D17" s="7" t="s">
        <v>93</v>
      </c>
      <c r="E17" s="7" t="s">
        <v>232</v>
      </c>
      <c r="F17" s="7" t="s">
        <v>233</v>
      </c>
      <c r="G17" s="7"/>
      <c r="H17" s="7" t="s">
        <v>50</v>
      </c>
      <c r="I17" s="7"/>
    </row>
    <row r="18" customFormat="false" ht="15" hidden="false" customHeight="false" outlineLevel="0" collapsed="false">
      <c r="B18" s="7" t="s">
        <v>230</v>
      </c>
      <c r="C18" s="7" t="s">
        <v>231</v>
      </c>
      <c r="D18" s="7" t="s">
        <v>138</v>
      </c>
      <c r="E18" s="7" t="s">
        <v>234</v>
      </c>
      <c r="F18" s="7" t="s">
        <v>235</v>
      </c>
      <c r="G18" s="7"/>
      <c r="H18" s="7" t="s">
        <v>50</v>
      </c>
      <c r="I18" s="7"/>
    </row>
    <row r="19" customFormat="false" ht="15" hidden="false" customHeight="false" outlineLevel="0" collapsed="false">
      <c r="B19" s="7" t="s">
        <v>230</v>
      </c>
      <c r="C19" s="7" t="s">
        <v>231</v>
      </c>
      <c r="D19" s="7" t="s">
        <v>75</v>
      </c>
      <c r="E19" s="7" t="s">
        <v>236</v>
      </c>
      <c r="F19" s="7" t="s">
        <v>237</v>
      </c>
      <c r="G19" s="7" t="s">
        <v>106</v>
      </c>
      <c r="H19" s="7" t="s">
        <v>50</v>
      </c>
      <c r="I19" s="7"/>
    </row>
    <row r="20" customFormat="false" ht="15" hidden="false" customHeight="false" outlineLevel="0" collapsed="false">
      <c r="B20" s="12" t="s">
        <v>238</v>
      </c>
      <c r="C20" s="12" t="s">
        <v>239</v>
      </c>
      <c r="D20" s="7" t="s">
        <v>138</v>
      </c>
      <c r="E20" s="7" t="s">
        <v>240</v>
      </c>
      <c r="F20" s="7" t="s">
        <v>241</v>
      </c>
      <c r="G20" s="7"/>
      <c r="H20" s="7" t="s">
        <v>50</v>
      </c>
      <c r="I20" s="7"/>
    </row>
    <row r="21" customFormat="false" ht="15" hidden="false" customHeight="false" outlineLevel="0" collapsed="false">
      <c r="B21" s="7" t="s">
        <v>238</v>
      </c>
      <c r="C21" s="7" t="s">
        <v>239</v>
      </c>
      <c r="D21" s="7" t="s">
        <v>141</v>
      </c>
      <c r="E21" s="7" t="s">
        <v>242</v>
      </c>
      <c r="F21" s="7" t="s">
        <v>243</v>
      </c>
      <c r="G21" s="7" t="s">
        <v>244</v>
      </c>
      <c r="H21" s="7" t="s">
        <v>50</v>
      </c>
      <c r="I21" s="7"/>
    </row>
    <row r="22" customFormat="false" ht="15" hidden="false" customHeight="false" outlineLevel="0" collapsed="false">
      <c r="B22" s="7" t="s">
        <v>238</v>
      </c>
      <c r="C22" s="7" t="s">
        <v>239</v>
      </c>
      <c r="D22" s="7" t="s">
        <v>75</v>
      </c>
      <c r="E22" s="7" t="s">
        <v>245</v>
      </c>
      <c r="F22" s="7" t="s">
        <v>246</v>
      </c>
      <c r="G22" s="7" t="s">
        <v>247</v>
      </c>
      <c r="H22" s="7" t="s">
        <v>50</v>
      </c>
      <c r="I22" s="7"/>
    </row>
    <row r="23" customFormat="false" ht="15" hidden="false" customHeight="false" outlineLevel="0" collapsed="false">
      <c r="B23" s="7" t="s">
        <v>238</v>
      </c>
      <c r="C23" s="7" t="s">
        <v>239</v>
      </c>
      <c r="D23" s="7" t="s">
        <v>67</v>
      </c>
      <c r="E23" s="7" t="s">
        <v>248</v>
      </c>
      <c r="F23" s="7" t="s">
        <v>249</v>
      </c>
      <c r="G23" s="7" t="s">
        <v>250</v>
      </c>
      <c r="H23" s="7" t="s">
        <v>50</v>
      </c>
      <c r="I23" s="7"/>
    </row>
    <row r="24" customFormat="false" ht="15" hidden="false" customHeight="false" outlineLevel="0" collapsed="false">
      <c r="B24" s="12" t="s">
        <v>251</v>
      </c>
      <c r="C24" s="12" t="s">
        <v>252</v>
      </c>
      <c r="D24" s="7" t="s">
        <v>96</v>
      </c>
      <c r="E24" s="7" t="s">
        <v>253</v>
      </c>
      <c r="F24" s="7" t="s">
        <v>254</v>
      </c>
      <c r="G24" s="7" t="s">
        <v>255</v>
      </c>
      <c r="H24" s="7" t="s">
        <v>50</v>
      </c>
      <c r="I24" s="7"/>
    </row>
    <row r="25" customFormat="false" ht="15" hidden="false" customHeight="false" outlineLevel="0" collapsed="false">
      <c r="B25" s="7" t="s">
        <v>251</v>
      </c>
      <c r="C25" s="7" t="s">
        <v>252</v>
      </c>
      <c r="D25" s="7" t="s">
        <v>100</v>
      </c>
      <c r="E25" s="7" t="s">
        <v>256</v>
      </c>
      <c r="F25" s="7" t="s">
        <v>257</v>
      </c>
      <c r="G25" s="7"/>
      <c r="H25" s="7" t="s">
        <v>50</v>
      </c>
      <c r="I25" s="7"/>
    </row>
    <row r="26" customFormat="false" ht="15" hidden="false" customHeight="false" outlineLevel="0" collapsed="false">
      <c r="B26" s="7" t="s">
        <v>251</v>
      </c>
      <c r="C26" s="7" t="s">
        <v>252</v>
      </c>
      <c r="D26" s="7" t="s">
        <v>134</v>
      </c>
      <c r="E26" s="7" t="s">
        <v>258</v>
      </c>
      <c r="F26" s="7" t="s">
        <v>259</v>
      </c>
      <c r="G26" s="7" t="s">
        <v>250</v>
      </c>
      <c r="H26" s="7" t="s">
        <v>50</v>
      </c>
      <c r="I26" s="7"/>
    </row>
    <row r="27" customFormat="false" ht="15" hidden="false" customHeight="false" outlineLevel="0" collapsed="false">
      <c r="B27" s="12" t="s">
        <v>260</v>
      </c>
      <c r="C27" s="12" t="s">
        <v>261</v>
      </c>
      <c r="D27" s="7" t="s">
        <v>134</v>
      </c>
      <c r="E27" s="7" t="s">
        <v>262</v>
      </c>
      <c r="F27" s="7" t="s">
        <v>263</v>
      </c>
      <c r="G27" s="7"/>
      <c r="H27" s="7" t="s">
        <v>50</v>
      </c>
      <c r="I27" s="7"/>
    </row>
    <row r="28" customFormat="false" ht="15" hidden="false" customHeight="false" outlineLevel="0" collapsed="false">
      <c r="B28" s="7" t="s">
        <v>260</v>
      </c>
      <c r="C28" s="7" t="s">
        <v>261</v>
      </c>
      <c r="D28" s="7" t="s">
        <v>71</v>
      </c>
      <c r="E28" s="7" t="s">
        <v>264</v>
      </c>
      <c r="F28" s="7" t="s">
        <v>265</v>
      </c>
      <c r="G28" s="7" t="s">
        <v>266</v>
      </c>
      <c r="H28" s="7" t="s">
        <v>50</v>
      </c>
      <c r="I28" s="7"/>
    </row>
    <row r="29" customFormat="false" ht="15" hidden="false" customHeight="false" outlineLevel="0" collapsed="false">
      <c r="B29" s="12" t="s">
        <v>267</v>
      </c>
      <c r="C29" s="12" t="s">
        <v>268</v>
      </c>
      <c r="D29" s="7" t="s">
        <v>144</v>
      </c>
      <c r="E29" s="7" t="s">
        <v>269</v>
      </c>
      <c r="F29" s="7" t="s">
        <v>270</v>
      </c>
      <c r="G29" s="7" t="s">
        <v>271</v>
      </c>
      <c r="H29" s="7" t="s">
        <v>50</v>
      </c>
      <c r="I29" s="7"/>
    </row>
    <row r="30" customFormat="false" ht="15" hidden="false" customHeight="false" outlineLevel="0" collapsed="false">
      <c r="B30" s="7" t="s">
        <v>267</v>
      </c>
      <c r="C30" s="7" t="s">
        <v>268</v>
      </c>
      <c r="D30" s="7" t="s">
        <v>134</v>
      </c>
      <c r="E30" s="7" t="s">
        <v>272</v>
      </c>
      <c r="F30" s="7" t="s">
        <v>273</v>
      </c>
      <c r="G30" s="7"/>
      <c r="H30" s="7" t="s">
        <v>50</v>
      </c>
      <c r="I30" s="7"/>
    </row>
    <row r="31" customFormat="false" ht="15" hidden="false" customHeight="false" outlineLevel="0" collapsed="false">
      <c r="B31" s="7" t="s">
        <v>267</v>
      </c>
      <c r="C31" s="7" t="s">
        <v>268</v>
      </c>
      <c r="D31" s="7" t="s">
        <v>30</v>
      </c>
      <c r="E31" s="7" t="s">
        <v>274</v>
      </c>
      <c r="F31" s="7"/>
      <c r="G31" s="7"/>
      <c r="H31" s="7" t="s">
        <v>50</v>
      </c>
      <c r="I31" s="7"/>
    </row>
    <row r="32" customFormat="false" ht="15" hidden="false" customHeight="false" outlineLevel="0" collapsed="false">
      <c r="B32" s="25" t="s">
        <v>275</v>
      </c>
      <c r="C32" s="25" t="s">
        <v>276</v>
      </c>
      <c r="D32" s="25" t="s">
        <v>204</v>
      </c>
      <c r="E32" s="25" t="s">
        <v>277</v>
      </c>
      <c r="F32" s="25"/>
      <c r="G32" s="25"/>
      <c r="H32" s="25"/>
      <c r="I32" s="25"/>
    </row>
    <row r="33" customFormat="false" ht="15" hidden="false" customHeight="false" outlineLevel="0" collapsed="false">
      <c r="B33" s="25" t="s">
        <v>278</v>
      </c>
      <c r="C33" s="25" t="s">
        <v>279</v>
      </c>
      <c r="D33" s="25" t="s">
        <v>204</v>
      </c>
      <c r="E33" s="25" t="s">
        <v>277</v>
      </c>
      <c r="F33" s="25"/>
      <c r="G33" s="25"/>
      <c r="H33" s="25"/>
      <c r="I33" s="25"/>
    </row>
    <row r="34" customFormat="false" ht="15" hidden="false" customHeight="false" outlineLevel="0" collapsed="false">
      <c r="B34" s="12" t="s">
        <v>280</v>
      </c>
      <c r="C34" s="12" t="s">
        <v>281</v>
      </c>
      <c r="D34" s="7" t="s">
        <v>148</v>
      </c>
      <c r="E34" s="7" t="s">
        <v>282</v>
      </c>
      <c r="F34" s="7" t="s">
        <v>283</v>
      </c>
      <c r="G34" s="7" t="s">
        <v>284</v>
      </c>
      <c r="H34" s="7" t="s">
        <v>50</v>
      </c>
      <c r="I34" s="7"/>
    </row>
    <row r="35" customFormat="false" ht="15" hidden="false" customHeight="false" outlineLevel="0" collapsed="false">
      <c r="B35" s="7" t="s">
        <v>280</v>
      </c>
      <c r="C35" s="7" t="s">
        <v>281</v>
      </c>
      <c r="D35" s="7" t="s">
        <v>103</v>
      </c>
      <c r="E35" s="7" t="s">
        <v>285</v>
      </c>
      <c r="F35" s="7"/>
      <c r="G35" s="7" t="s">
        <v>106</v>
      </c>
      <c r="H35" s="7" t="s">
        <v>50</v>
      </c>
      <c r="I35" s="7"/>
    </row>
    <row r="36" customFormat="false" ht="15" hidden="false" customHeight="false" outlineLevel="0" collapsed="false">
      <c r="B36" s="7" t="s">
        <v>280</v>
      </c>
      <c r="C36" s="7" t="s">
        <v>281</v>
      </c>
      <c r="D36" s="7" t="s">
        <v>286</v>
      </c>
      <c r="E36" s="7" t="s">
        <v>287</v>
      </c>
      <c r="F36" s="7"/>
      <c r="G36" s="7"/>
      <c r="H36" s="7" t="s">
        <v>50</v>
      </c>
      <c r="I36" s="7"/>
    </row>
    <row r="37" customFormat="false" ht="15" hidden="false" customHeight="false" outlineLevel="0" collapsed="false">
      <c r="B37" s="12" t="s">
        <v>288</v>
      </c>
      <c r="C37" s="12" t="s">
        <v>289</v>
      </c>
      <c r="D37" s="7" t="s">
        <v>152</v>
      </c>
      <c r="E37" s="7" t="s">
        <v>290</v>
      </c>
      <c r="F37" s="7" t="s">
        <v>291</v>
      </c>
      <c r="G37" s="7" t="s">
        <v>292</v>
      </c>
      <c r="H37" s="7" t="s">
        <v>50</v>
      </c>
      <c r="I37" s="7"/>
    </row>
    <row r="38" customFormat="false" ht="15" hidden="false" customHeight="false" outlineLevel="0" collapsed="false">
      <c r="B38" s="7" t="s">
        <v>288</v>
      </c>
      <c r="C38" s="7" t="s">
        <v>289</v>
      </c>
      <c r="D38" s="7" t="s">
        <v>167</v>
      </c>
      <c r="E38" s="7" t="s">
        <v>293</v>
      </c>
      <c r="F38" s="7" t="s">
        <v>294</v>
      </c>
      <c r="G38" s="7" t="s">
        <v>106</v>
      </c>
      <c r="H38" s="7" t="s">
        <v>50</v>
      </c>
      <c r="I38" s="7"/>
    </row>
    <row r="39" customFormat="false" ht="15" hidden="false" customHeight="false" outlineLevel="0" collapsed="false">
      <c r="B39" s="12" t="s">
        <v>295</v>
      </c>
      <c r="C39" s="12" t="s">
        <v>296</v>
      </c>
      <c r="D39" s="7" t="s">
        <v>156</v>
      </c>
      <c r="E39" s="7" t="s">
        <v>297</v>
      </c>
      <c r="F39" s="7" t="s">
        <v>298</v>
      </c>
      <c r="G39" s="7" t="s">
        <v>159</v>
      </c>
      <c r="H39" s="7" t="s">
        <v>50</v>
      </c>
      <c r="I39" s="7"/>
    </row>
    <row r="40" customFormat="false" ht="15" hidden="false" customHeight="false" outlineLevel="0" collapsed="false">
      <c r="B40" s="7" t="s">
        <v>295</v>
      </c>
      <c r="C40" s="7" t="s">
        <v>296</v>
      </c>
      <c r="D40" s="7" t="s">
        <v>34</v>
      </c>
      <c r="E40" s="7" t="s">
        <v>299</v>
      </c>
      <c r="F40" s="7"/>
      <c r="G40" s="7"/>
      <c r="H40" s="7" t="s">
        <v>50</v>
      </c>
      <c r="I40" s="7"/>
    </row>
    <row r="41" customFormat="false" ht="15" hidden="false" customHeight="false" outlineLevel="0" collapsed="false">
      <c r="B41" s="12" t="s">
        <v>300</v>
      </c>
      <c r="C41" s="12" t="s">
        <v>301</v>
      </c>
      <c r="D41" s="7" t="s">
        <v>156</v>
      </c>
      <c r="E41" s="7" t="s">
        <v>302</v>
      </c>
      <c r="F41" s="7" t="s">
        <v>303</v>
      </c>
      <c r="G41" s="7"/>
      <c r="H41" s="7" t="s">
        <v>50</v>
      </c>
      <c r="I41" s="7"/>
    </row>
    <row r="42" customFormat="false" ht="15" hidden="false" customHeight="false" outlineLevel="0" collapsed="false">
      <c r="B42" s="7" t="s">
        <v>300</v>
      </c>
      <c r="C42" s="7" t="s">
        <v>301</v>
      </c>
      <c r="D42" s="7" t="s">
        <v>160</v>
      </c>
      <c r="E42" s="7" t="s">
        <v>304</v>
      </c>
      <c r="F42" s="7" t="s">
        <v>305</v>
      </c>
      <c r="G42" s="7" t="s">
        <v>306</v>
      </c>
      <c r="H42" s="7" t="s">
        <v>50</v>
      </c>
      <c r="I42" s="7"/>
    </row>
    <row r="43" customFormat="false" ht="15" hidden="false" customHeight="false" outlineLevel="0" collapsed="false">
      <c r="B43" s="12" t="s">
        <v>307</v>
      </c>
      <c r="C43" s="12" t="s">
        <v>308</v>
      </c>
      <c r="D43" s="7" t="s">
        <v>160</v>
      </c>
      <c r="E43" s="7" t="s">
        <v>309</v>
      </c>
      <c r="F43" s="7" t="s">
        <v>305</v>
      </c>
      <c r="G43" s="7"/>
      <c r="H43" s="7" t="s">
        <v>50</v>
      </c>
      <c r="I43" s="7"/>
    </row>
    <row r="44" customFormat="false" ht="15" hidden="false" customHeight="false" outlineLevel="0" collapsed="false">
      <c r="B44" s="7" t="s">
        <v>307</v>
      </c>
      <c r="C44" s="7" t="s">
        <v>308</v>
      </c>
      <c r="D44" s="7" t="s">
        <v>164</v>
      </c>
      <c r="E44" s="7" t="s">
        <v>310</v>
      </c>
      <c r="F44" s="7" t="s">
        <v>311</v>
      </c>
      <c r="G44" s="7"/>
      <c r="H44" s="7" t="s">
        <v>50</v>
      </c>
      <c r="I44" s="7"/>
    </row>
    <row r="46" customFormat="false" ht="15" hidden="false" customHeight="false" outlineLevel="0" collapsed="false">
      <c r="B46" s="26" t="s">
        <v>312</v>
      </c>
      <c r="C46" s="17" t="str">
        <f aca="false">COUNTIF(H4:H44,"Done")&amp;" / "&amp;COUNTIF(H4:H44,"&lt;&gt;")</f>
        <v>0 / 38</v>
      </c>
    </row>
  </sheetData>
  <conditionalFormatting sqref="H4:H4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H4:H6 H8:H31 H34:H44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16.15" hidden="false" customHeight="false" outlineLevel="0" collapsed="false">
      <c r="B1" s="1" t="s">
        <v>313</v>
      </c>
    </row>
    <row r="3" customFormat="false" ht="15" hidden="false" customHeight="false" outlineLevel="0" collapsed="false">
      <c r="B3" s="3" t="s">
        <v>314</v>
      </c>
      <c r="C3" s="3" t="s">
        <v>315</v>
      </c>
      <c r="D3" s="3" t="s">
        <v>316</v>
      </c>
      <c r="E3" s="3" t="s">
        <v>317</v>
      </c>
      <c r="F3" s="3" t="s">
        <v>11</v>
      </c>
    </row>
    <row r="4" customFormat="false" ht="15" hidden="false" customHeight="false" outlineLevel="0" collapsed="false">
      <c r="B4" s="12" t="s">
        <v>33</v>
      </c>
      <c r="C4" s="7" t="s">
        <v>318</v>
      </c>
      <c r="D4" s="7" t="s">
        <v>46</v>
      </c>
      <c r="E4" s="7" t="s">
        <v>192</v>
      </c>
      <c r="F4" s="7" t="s">
        <v>319</v>
      </c>
    </row>
    <row r="5" customFormat="false" ht="15" hidden="false" customHeight="false" outlineLevel="0" collapsed="false">
      <c r="B5" s="12" t="s">
        <v>33</v>
      </c>
      <c r="C5" s="7" t="s">
        <v>320</v>
      </c>
      <c r="D5" s="7" t="s">
        <v>83</v>
      </c>
      <c r="E5" s="7" t="s">
        <v>192</v>
      </c>
      <c r="F5" s="7" t="s">
        <v>319</v>
      </c>
    </row>
    <row r="6" customFormat="false" ht="15" hidden="false" customHeight="false" outlineLevel="0" collapsed="false">
      <c r="B6" s="12" t="s">
        <v>33</v>
      </c>
      <c r="C6" s="7" t="s">
        <v>321</v>
      </c>
      <c r="D6" s="7" t="s">
        <v>322</v>
      </c>
      <c r="E6" s="7" t="s">
        <v>206</v>
      </c>
      <c r="F6" s="7" t="s">
        <v>319</v>
      </c>
    </row>
    <row r="7" customFormat="false" ht="15" hidden="false" customHeight="false" outlineLevel="0" collapsed="false">
      <c r="B7" s="12" t="s">
        <v>33</v>
      </c>
      <c r="C7" s="7" t="s">
        <v>323</v>
      </c>
      <c r="D7" s="7" t="s">
        <v>324</v>
      </c>
      <c r="E7" s="7" t="s">
        <v>206</v>
      </c>
      <c r="F7" s="7" t="s">
        <v>319</v>
      </c>
    </row>
    <row r="8" customFormat="false" ht="15" hidden="false" customHeight="false" outlineLevel="0" collapsed="false">
      <c r="B8" s="12" t="s">
        <v>33</v>
      </c>
      <c r="C8" s="7" t="s">
        <v>325</v>
      </c>
      <c r="D8" s="7" t="s">
        <v>326</v>
      </c>
      <c r="E8" s="7" t="s">
        <v>221</v>
      </c>
      <c r="F8" s="7" t="s">
        <v>319</v>
      </c>
    </row>
    <row r="9" customFormat="false" ht="15" hidden="false" customHeight="false" outlineLevel="0" collapsed="false">
      <c r="B9" s="12" t="s">
        <v>33</v>
      </c>
      <c r="C9" s="7" t="s">
        <v>327</v>
      </c>
      <c r="D9" s="7" t="s">
        <v>328</v>
      </c>
      <c r="E9" s="7" t="s">
        <v>238</v>
      </c>
      <c r="F9" s="7" t="s">
        <v>319</v>
      </c>
    </row>
    <row r="10" customFormat="false" ht="15" hidden="false" customHeight="false" outlineLevel="0" collapsed="false">
      <c r="B10" s="12" t="s">
        <v>33</v>
      </c>
      <c r="C10" s="7" t="s">
        <v>329</v>
      </c>
      <c r="D10" s="7" t="s">
        <v>71</v>
      </c>
      <c r="E10" s="7" t="s">
        <v>260</v>
      </c>
      <c r="F10" s="7" t="s">
        <v>319</v>
      </c>
    </row>
    <row r="11" customFormat="false" ht="15" hidden="false" customHeight="false" outlineLevel="0" collapsed="false">
      <c r="B11" s="12" t="s">
        <v>33</v>
      </c>
      <c r="C11" s="7" t="s">
        <v>330</v>
      </c>
      <c r="D11" s="7" t="s">
        <v>331</v>
      </c>
      <c r="E11" s="7" t="s">
        <v>267</v>
      </c>
      <c r="F11" s="7" t="s">
        <v>319</v>
      </c>
    </row>
    <row r="12" customFormat="false" ht="15" hidden="false" customHeight="false" outlineLevel="0" collapsed="false">
      <c r="B12" s="12" t="s">
        <v>33</v>
      </c>
      <c r="C12" s="7" t="s">
        <v>332</v>
      </c>
      <c r="D12" s="7" t="s">
        <v>333</v>
      </c>
      <c r="E12" s="7" t="s">
        <v>288</v>
      </c>
      <c r="F12" s="7" t="s">
        <v>319</v>
      </c>
    </row>
    <row r="13" customFormat="false" ht="15" hidden="false" customHeight="false" outlineLevel="0" collapsed="false">
      <c r="B13" s="12" t="s">
        <v>106</v>
      </c>
      <c r="C13" s="7" t="s">
        <v>334</v>
      </c>
      <c r="D13" s="7" t="s">
        <v>335</v>
      </c>
      <c r="E13" s="7" t="s">
        <v>230</v>
      </c>
      <c r="F13" s="7" t="s">
        <v>319</v>
      </c>
    </row>
    <row r="14" customFormat="false" ht="15" hidden="false" customHeight="false" outlineLevel="0" collapsed="false">
      <c r="B14" s="12" t="s">
        <v>106</v>
      </c>
      <c r="C14" s="7" t="s">
        <v>336</v>
      </c>
      <c r="D14" s="7" t="s">
        <v>337</v>
      </c>
      <c r="E14" s="7" t="s">
        <v>251</v>
      </c>
      <c r="F14" s="7" t="s">
        <v>319</v>
      </c>
    </row>
    <row r="15" customFormat="false" ht="15" hidden="false" customHeight="false" outlineLevel="0" collapsed="false">
      <c r="B15" s="12" t="s">
        <v>106</v>
      </c>
      <c r="C15" s="7" t="s">
        <v>338</v>
      </c>
      <c r="D15" s="7" t="s">
        <v>339</v>
      </c>
      <c r="E15" s="7" t="s">
        <v>340</v>
      </c>
      <c r="F15" s="7" t="s">
        <v>319</v>
      </c>
    </row>
    <row r="16" customFormat="false" ht="15" hidden="false" customHeight="false" outlineLevel="0" collapsed="false">
      <c r="B16" s="12" t="s">
        <v>106</v>
      </c>
      <c r="C16" s="7" t="s">
        <v>341</v>
      </c>
      <c r="D16" s="7" t="s">
        <v>342</v>
      </c>
      <c r="E16" s="7" t="s">
        <v>288</v>
      </c>
      <c r="F16" s="7" t="s">
        <v>319</v>
      </c>
    </row>
    <row r="17" customFormat="false" ht="15" hidden="false" customHeight="false" outlineLevel="0" collapsed="false">
      <c r="B17" s="12" t="s">
        <v>343</v>
      </c>
      <c r="C17" s="7" t="s">
        <v>344</v>
      </c>
      <c r="D17" s="7" t="s">
        <v>123</v>
      </c>
      <c r="E17" s="7" t="s">
        <v>238</v>
      </c>
      <c r="F17" s="7" t="s">
        <v>319</v>
      </c>
    </row>
    <row r="18" customFormat="false" ht="15" hidden="false" customHeight="false" outlineLevel="0" collapsed="false">
      <c r="B18" s="12" t="s">
        <v>343</v>
      </c>
      <c r="C18" s="7" t="s">
        <v>345</v>
      </c>
      <c r="D18" s="7" t="s">
        <v>126</v>
      </c>
      <c r="E18" s="7" t="s">
        <v>267</v>
      </c>
      <c r="F18" s="7" t="s">
        <v>319</v>
      </c>
    </row>
    <row r="19" customFormat="false" ht="15" hidden="false" customHeight="false" outlineLevel="0" collapsed="false">
      <c r="B19" s="12" t="s">
        <v>346</v>
      </c>
      <c r="C19" s="7" t="s">
        <v>347</v>
      </c>
      <c r="D19" s="7" t="s">
        <v>348</v>
      </c>
      <c r="E19" s="7" t="s">
        <v>300</v>
      </c>
      <c r="F19" s="7" t="s">
        <v>319</v>
      </c>
    </row>
  </sheetData>
  <conditionalFormatting sqref="F4:F19">
    <cfRule type="cellIs" priority="2" operator="equal" aboveAverage="0" equalAverage="0" bottom="0" percent="0" rank="0" text="" dxfId="0">
      <formula>"Received"</formula>
    </cfRule>
    <cfRule type="cellIs" priority="3" operator="equal" aboveAverage="0" equalAverage="0" bottom="0" percent="0" rank="0" text="" dxfId="1">
      <formula>"Asked"</formula>
    </cfRule>
  </conditionalFormatting>
  <dataValidations count="1">
    <dataValidation allowBlank="true" errorStyle="stop" operator="between" showDropDown="false" showErrorMessage="false" showInputMessage="false" sqref="F4:F19" type="list">
      <formula1>"Not asked,Asked,Received"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16.15" hidden="false" customHeight="false" outlineLevel="0" collapsed="false">
      <c r="B1" s="1" t="s">
        <v>349</v>
      </c>
    </row>
    <row r="3" customFormat="false" ht="15" hidden="false" customHeight="false" outlineLevel="0" collapsed="false">
      <c r="B3" s="3" t="s">
        <v>350</v>
      </c>
      <c r="C3" s="3" t="s">
        <v>351</v>
      </c>
      <c r="D3" s="3" t="s">
        <v>352</v>
      </c>
      <c r="E3" s="3" t="s">
        <v>353</v>
      </c>
      <c r="F3" s="3" t="s">
        <v>354</v>
      </c>
      <c r="G3" s="3" t="s">
        <v>2</v>
      </c>
      <c r="H3" s="3" t="s">
        <v>355</v>
      </c>
    </row>
    <row r="4" customFormat="false" ht="22.35" hidden="false" customHeight="false" outlineLevel="0" collapsed="false">
      <c r="B4" s="12" t="s">
        <v>356</v>
      </c>
      <c r="C4" s="7" t="s">
        <v>357</v>
      </c>
      <c r="D4" s="7" t="s">
        <v>358</v>
      </c>
      <c r="E4" s="7" t="s">
        <v>359</v>
      </c>
      <c r="F4" s="7" t="s">
        <v>360</v>
      </c>
      <c r="G4" s="7" t="s">
        <v>361</v>
      </c>
      <c r="H4" s="27"/>
    </row>
    <row r="5" customFormat="false" ht="22.35" hidden="false" customHeight="false" outlineLevel="0" collapsed="false">
      <c r="B5" s="12" t="s">
        <v>362</v>
      </c>
      <c r="C5" s="7" t="s">
        <v>357</v>
      </c>
      <c r="D5" s="7" t="s">
        <v>363</v>
      </c>
      <c r="E5" s="7" t="s">
        <v>364</v>
      </c>
      <c r="F5" s="7" t="s">
        <v>365</v>
      </c>
      <c r="G5" s="7" t="s">
        <v>83</v>
      </c>
      <c r="H5" s="27"/>
    </row>
    <row r="6" customFormat="false" ht="15" hidden="false" customHeight="false" outlineLevel="0" collapsed="false">
      <c r="B6" s="12" t="s">
        <v>366</v>
      </c>
      <c r="C6" s="7" t="s">
        <v>367</v>
      </c>
      <c r="D6" s="7" t="s">
        <v>368</v>
      </c>
      <c r="E6" s="7" t="s">
        <v>369</v>
      </c>
      <c r="F6" s="7" t="s">
        <v>370</v>
      </c>
      <c r="G6" s="7" t="s">
        <v>96</v>
      </c>
      <c r="H6" s="27"/>
    </row>
    <row r="7" customFormat="false" ht="15" hidden="false" customHeight="false" outlineLevel="0" collapsed="false">
      <c r="B7" s="12" t="s">
        <v>371</v>
      </c>
      <c r="C7" s="7" t="s">
        <v>367</v>
      </c>
      <c r="D7" s="7" t="s">
        <v>372</v>
      </c>
      <c r="E7" s="7" t="s">
        <v>373</v>
      </c>
      <c r="F7" s="7" t="s">
        <v>374</v>
      </c>
      <c r="G7" s="7" t="s">
        <v>96</v>
      </c>
      <c r="H7" s="27"/>
    </row>
    <row r="8" customFormat="false" ht="15" hidden="false" customHeight="false" outlineLevel="0" collapsed="false">
      <c r="B8" s="12" t="s">
        <v>375</v>
      </c>
      <c r="C8" s="7" t="s">
        <v>376</v>
      </c>
      <c r="D8" s="7" t="s">
        <v>377</v>
      </c>
      <c r="E8" s="7" t="s">
        <v>378</v>
      </c>
      <c r="F8" s="7" t="s">
        <v>379</v>
      </c>
      <c r="G8" s="7" t="s">
        <v>75</v>
      </c>
      <c r="H8" s="27"/>
    </row>
    <row r="9" customFormat="false" ht="15" hidden="false" customHeight="false" outlineLevel="0" collapsed="false">
      <c r="B9" s="12" t="s">
        <v>380</v>
      </c>
      <c r="C9" s="7" t="s">
        <v>381</v>
      </c>
      <c r="D9" s="7" t="s">
        <v>382</v>
      </c>
      <c r="E9" s="7" t="s">
        <v>383</v>
      </c>
      <c r="F9" s="7" t="s">
        <v>384</v>
      </c>
      <c r="G9" s="7" t="s">
        <v>93</v>
      </c>
      <c r="H9" s="27"/>
    </row>
    <row r="10" customFormat="false" ht="15" hidden="false" customHeight="false" outlineLevel="0" collapsed="false">
      <c r="B10" s="12" t="s">
        <v>385</v>
      </c>
      <c r="C10" s="7" t="s">
        <v>357</v>
      </c>
      <c r="D10" s="7" t="s">
        <v>386</v>
      </c>
      <c r="E10" s="7" t="s">
        <v>387</v>
      </c>
      <c r="F10" s="7" t="s">
        <v>388</v>
      </c>
      <c r="G10" s="7" t="s">
        <v>100</v>
      </c>
      <c r="H10" s="27"/>
    </row>
    <row r="11" customFormat="false" ht="15" hidden="false" customHeight="false" outlineLevel="0" collapsed="false">
      <c r="B11" s="12" t="s">
        <v>389</v>
      </c>
      <c r="C11" s="7" t="s">
        <v>357</v>
      </c>
      <c r="D11" s="7" t="s">
        <v>390</v>
      </c>
      <c r="E11" s="7" t="s">
        <v>391</v>
      </c>
      <c r="F11" s="7" t="s">
        <v>388</v>
      </c>
      <c r="G11" s="7" t="s">
        <v>100</v>
      </c>
      <c r="H11" s="27"/>
    </row>
    <row r="12" customFormat="false" ht="15" hidden="false" customHeight="false" outlineLevel="0" collapsed="false">
      <c r="B12" s="12" t="s">
        <v>392</v>
      </c>
      <c r="C12" s="7" t="s">
        <v>393</v>
      </c>
      <c r="D12" s="7" t="s">
        <v>394</v>
      </c>
      <c r="E12" s="7" t="s">
        <v>395</v>
      </c>
      <c r="F12" s="7" t="s">
        <v>396</v>
      </c>
      <c r="G12" s="7" t="s">
        <v>138</v>
      </c>
      <c r="H12" s="27"/>
    </row>
    <row r="13" customFormat="false" ht="15" hidden="false" customHeight="false" outlineLevel="0" collapsed="false">
      <c r="B13" s="12" t="s">
        <v>397</v>
      </c>
      <c r="C13" s="7" t="s">
        <v>357</v>
      </c>
      <c r="D13" s="7" t="s">
        <v>398</v>
      </c>
      <c r="E13" s="7" t="s">
        <v>399</v>
      </c>
      <c r="F13" s="7" t="s">
        <v>400</v>
      </c>
      <c r="G13" s="7" t="s">
        <v>141</v>
      </c>
      <c r="H13" s="27"/>
    </row>
    <row r="14" customFormat="false" ht="22.35" hidden="false" customHeight="false" outlineLevel="0" collapsed="false">
      <c r="B14" s="12" t="s">
        <v>401</v>
      </c>
      <c r="C14" s="7" t="s">
        <v>357</v>
      </c>
      <c r="D14" s="7" t="s">
        <v>402</v>
      </c>
      <c r="E14" s="7" t="s">
        <v>403</v>
      </c>
      <c r="F14" s="7" t="s">
        <v>404</v>
      </c>
      <c r="G14" s="7" t="s">
        <v>144</v>
      </c>
      <c r="H14" s="27"/>
    </row>
    <row r="15" customFormat="false" ht="15" hidden="false" customHeight="false" outlineLevel="0" collapsed="false">
      <c r="B15" s="12" t="s">
        <v>405</v>
      </c>
      <c r="C15" s="7" t="s">
        <v>357</v>
      </c>
      <c r="D15" s="7" t="s">
        <v>406</v>
      </c>
      <c r="E15" s="7" t="s">
        <v>407</v>
      </c>
      <c r="F15" s="7" t="s">
        <v>408</v>
      </c>
      <c r="G15" s="7" t="s">
        <v>144</v>
      </c>
      <c r="H15" s="27"/>
    </row>
    <row r="16" customFormat="false" ht="15" hidden="false" customHeight="false" outlineLevel="0" collapsed="false">
      <c r="B16" s="12" t="s">
        <v>409</v>
      </c>
      <c r="C16" s="7" t="s">
        <v>357</v>
      </c>
      <c r="D16" s="7" t="s">
        <v>410</v>
      </c>
      <c r="E16" s="7" t="s">
        <v>411</v>
      </c>
      <c r="F16" s="7" t="s">
        <v>412</v>
      </c>
      <c r="G16" s="7" t="s">
        <v>63</v>
      </c>
      <c r="H16" s="27"/>
    </row>
    <row r="17" customFormat="false" ht="15" hidden="false" customHeight="false" outlineLevel="0" collapsed="false">
      <c r="B17" s="12" t="s">
        <v>413</v>
      </c>
      <c r="C17" s="7" t="s">
        <v>357</v>
      </c>
      <c r="D17" s="7" t="s">
        <v>414</v>
      </c>
      <c r="E17" s="7" t="s">
        <v>415</v>
      </c>
      <c r="F17" s="7" t="s">
        <v>416</v>
      </c>
      <c r="G17" s="7" t="s">
        <v>59</v>
      </c>
      <c r="H17" s="27"/>
    </row>
    <row r="18" customFormat="false" ht="15" hidden="false" customHeight="false" outlineLevel="0" collapsed="false">
      <c r="B18" s="12" t="s">
        <v>417</v>
      </c>
      <c r="C18" s="7" t="s">
        <v>418</v>
      </c>
      <c r="D18" s="7" t="s">
        <v>419</v>
      </c>
      <c r="E18" s="7" t="s">
        <v>420</v>
      </c>
      <c r="F18" s="7" t="s">
        <v>421</v>
      </c>
      <c r="G18" s="7" t="s">
        <v>63</v>
      </c>
      <c r="H18" s="27"/>
    </row>
    <row r="19" customFormat="false" ht="15" hidden="false" customHeight="false" outlineLevel="0" collapsed="false">
      <c r="B19" s="12" t="s">
        <v>422</v>
      </c>
      <c r="C19" s="7" t="s">
        <v>423</v>
      </c>
      <c r="D19" s="7" t="s">
        <v>424</v>
      </c>
      <c r="E19" s="7" t="s">
        <v>425</v>
      </c>
      <c r="F19" s="7" t="s">
        <v>426</v>
      </c>
      <c r="G19" s="7" t="s">
        <v>54</v>
      </c>
      <c r="H19" s="27"/>
    </row>
    <row r="21" customFormat="false" ht="15" hidden="false" customHeight="false" outlineLevel="0" collapsed="false">
      <c r="B21" s="2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2026-10-06T09:56:03Z</dcterms:created>
  <dc:creator>openpyxl</dc:creator>
  <dc:description/>
  <dc:language>en-US</dc:language>
  <cp:lastModifiedBy/>
  <dcterms:modified xsi:type="dcterms:W3CDTF">2026-10-06T09:56:03Z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